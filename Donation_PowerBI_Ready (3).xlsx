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ations" sheetId="1" state="visible" r:id="rId3"/>
    <sheet name="Expenses" sheetId="2" state="visible" r:id="rId4"/>
    <sheet name="Summary" sheetId="3" state="visible" r:id="rId5"/>
    <sheet name="D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<sst xmlns="http://schemas.openxmlformats.org/spreadsheetml/2006/main" count="724" uniqueCount="98">
  <si>
    <t xml:space="preserve">Date</t>
  </si>
  <si>
    <t xml:space="preserve">Time</t>
  </si>
  <si>
    <t xml:space="preserve">Date_Time</t>
  </si>
  <si>
    <t xml:space="preserve">Payment Method</t>
  </si>
  <si>
    <t xml:space="preserve">Amount (RM)</t>
  </si>
  <si>
    <t xml:space="preserve">Memo</t>
  </si>
  <si>
    <t xml:space="preserve">Transaction Type</t>
  </si>
  <si>
    <t xml:space="preserve">Fund/Campaign</t>
  </si>
  <si>
    <t xml:space="preserve">BANK TRANSFER</t>
  </si>
  <si>
    <t xml:space="preserve">Individual donation</t>
  </si>
  <si>
    <t xml:space="preserve">Donation</t>
  </si>
  <si>
    <t xml:space="preserve">General</t>
  </si>
  <si>
    <t xml:space="preserve">TNG</t>
  </si>
  <si>
    <t xml:space="preserve">Aggregated smaller/unlisted donations (OTHERS)</t>
  </si>
  <si>
    <t xml:space="preserve">Volunteer donation</t>
  </si>
  <si>
    <t xml:space="preserve">Volunteer Donation</t>
  </si>
  <si>
    <t xml:space="preserve">Has Exact Date</t>
  </si>
  <si>
    <t xml:space="preserve">Animal</t>
  </si>
  <si>
    <t xml:space="preserve">Category</t>
  </si>
  <si>
    <t xml:space="preserve">Description</t>
  </si>
  <si>
    <t xml:space="preserve">Receipt Attached</t>
  </si>
  <si>
    <t xml:space="preserve">No</t>
  </si>
  <si>
    <t xml:space="preserve">Dog Treatment</t>
  </si>
  <si>
    <t xml:space="preserve">Vet treatment for rescued dog</t>
  </si>
  <si>
    <t xml:space="preserve">Yes</t>
  </si>
  <si>
    <t xml:space="preserve">Expense</t>
  </si>
  <si>
    <t xml:space="preserve">Miscellaneous</t>
  </si>
  <si>
    <r>
      <rPr>
        <sz val="11"/>
        <rFont val="Arial"/>
        <family val="0"/>
        <charset val="1"/>
      </rPr>
      <t xml:space="preserve">Dog food / Elizabethan collar / bandage (</t>
    </r>
    <r>
      <rPr>
        <sz val="11"/>
        <rFont val="Noto Sans CJK SC"/>
        <family val="2"/>
      </rPr>
      <t xml:space="preserve">杂费：狗粮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伊丽莎白项圈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绷带</t>
    </r>
    <r>
      <rPr>
        <sz val="11"/>
        <rFont val="Arial"/>
        <family val="0"/>
        <charset val="1"/>
      </rPr>
      <t xml:space="preserve">)</t>
    </r>
  </si>
  <si>
    <t xml:space="preserve">Transport Subsidy</t>
  </si>
  <si>
    <r>
      <rPr>
        <sz val="11"/>
        <rFont val="Arial"/>
        <family val="0"/>
        <charset val="1"/>
      </rPr>
      <t xml:space="preserve">Toll / petrol / car wash (</t>
    </r>
    <r>
      <rPr>
        <sz val="11"/>
        <rFont val="Noto Sans CJK SC"/>
        <family val="2"/>
      </rPr>
      <t xml:space="preserve">交通费补贴：过路费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车油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洗车费</t>
    </r>
    <r>
      <rPr>
        <sz val="11"/>
        <rFont val="Arial"/>
        <family val="0"/>
        <charset val="1"/>
      </rPr>
      <t xml:space="preserve">)</t>
    </r>
  </si>
  <si>
    <t xml:space="preserve">Food &amp; Snack</t>
  </si>
  <si>
    <t xml:space="preserve">Dog snack (receipt: Bintang Binatang Kesayangan Sdn Bhd)</t>
  </si>
  <si>
    <t xml:space="preserve">Riley</t>
  </si>
  <si>
    <t xml:space="preserve">Treatment Equipment</t>
  </si>
  <si>
    <t xml:space="preserve">Guardian &amp; pharmacy supplies</t>
  </si>
  <si>
    <t xml:space="preserve">Food and snacks (May 1) - combined receipts 124 + 151.70</t>
  </si>
  <si>
    <t xml:space="preserve">Others/Tools</t>
  </si>
  <si>
    <t xml:space="preserve">Miscellaneous tools</t>
  </si>
  <si>
    <t xml:space="preserve">Vaccine</t>
  </si>
  <si>
    <t xml:space="preserve">Neuter</t>
  </si>
  <si>
    <t xml:space="preserve">Neutering</t>
  </si>
  <si>
    <t xml:space="preserve">Xiaopao</t>
  </si>
  <si>
    <t xml:space="preserve">Treatment</t>
  </si>
  <si>
    <t xml:space="preserve">Medical treatment</t>
  </si>
  <si>
    <t xml:space="preserve">Food and snack (21 Jun)</t>
  </si>
  <si>
    <t xml:space="preserve">Shelter</t>
  </si>
  <si>
    <t xml:space="preserve">Cost of sending Riley to a shelter</t>
  </si>
  <si>
    <t xml:space="preserve">DONATION FINALIZATION - SUMMARY</t>
  </si>
  <si>
    <t xml:space="preserve">Metric</t>
  </si>
  <si>
    <t xml:space="preserve">Total Donations (All Funds)</t>
  </si>
  <si>
    <t xml:space="preserve">  of which: General Fund</t>
  </si>
  <si>
    <t xml:space="preserve">  of which: Volunteer Donation Fund</t>
  </si>
  <si>
    <t xml:space="preserve">Total Expenses (All Dogs)</t>
  </si>
  <si>
    <t xml:space="preserve">  of which: Riley</t>
  </si>
  <si>
    <t xml:space="preserve">  of which: Xiaopao</t>
  </si>
  <si>
    <t xml:space="preserve">  of which: General</t>
  </si>
  <si>
    <t xml:space="preserve">Balance (as stated in original sheet)</t>
  </si>
  <si>
    <t xml:space="preserve">Balance (calculated: Donations - Expenses)</t>
  </si>
  <si>
    <t xml:space="preserve">Total (as stated in original sheet)</t>
  </si>
  <si>
    <t xml:space="preserve">Per-Dog Balances (as stated in original sheet)</t>
  </si>
  <si>
    <t xml:space="preserve">Riley - Total Spent</t>
  </si>
  <si>
    <t xml:space="preserve">Riley - Balance</t>
  </si>
  <si>
    <t xml:space="preserve">Xiaopao - Total Spent</t>
  </si>
  <si>
    <t xml:space="preserve">Xiaopao - Balance</t>
  </si>
  <si>
    <t xml:space="preserve">Volunteer Donation Total (as stated in original sheet)</t>
  </si>
  <si>
    <t xml:space="preserve">Notes:</t>
  </si>
  <si>
    <t xml:space="preserve">1. The original Google Sheet embedded photos (receipts) as IMAGE objects inside cells - these can't be read as data by Power BI, so they show up as null/blank.</t>
  </si>
  <si>
    <t xml:space="preserve">2. Those receipts are now represented as data using a 'Receipt Attached' column (Yes/No) in the Expenses tab, so the information survives without needing the picture.</t>
  </si>
  <si>
    <t xml:space="preserve">3. 'OTHERS' (RM155) was a lump-sum entry in the source with no individual timestamps or breakdown - kept as one row, clearly labeled.</t>
  </si>
  <si>
    <t xml:space="preserve">4. Donations and Expenses are kept as two separate flat tables (one row per transaction) - this is the structure Power BI expects for clean import and relationships.</t>
  </si>
  <si>
    <t xml:space="preserve">5. Riley and Xiaopao are the two rescued dogs named in the source; an 'Animal' column on the Expenses tab tags each expense so it can be filtered/grouped by dog in Power BI.</t>
  </si>
  <si>
    <t xml:space="preserve">6. 'Volunteer Donation' (collected via TNG, RM290 total) is kept in the same Donations table but tagged with its own Fund/Campaign value, since it's a separate collection from the main donation drive.</t>
  </si>
  <si>
    <t xml:space="preserve">7. Per-dog Balance figures (Riley: RM102.40, Xiaopao: -RM218.35) are taken directly from the source sheet as reported - they weren't recalculated here because the underlying per-dog donation allocations weren't provided.</t>
  </si>
  <si>
    <t xml:space="preserve">8. Volunteer donation dates (10/13/20/21 Jun) had no year specified in the source; assumed 2024 for consistency with the rest of the data - please confirm.</t>
  </si>
  <si>
    <t xml:space="preserve">9. A 'Date' sheet was added (one row per calendar day, 1 Apr-30 Jun 2024). In Power BI, relate Date[Date] to both Donations[Date] and Expenses[Date] (one-to-many) - this lets you build a single chart showing donation frequency vs expense frequency by day/week/month.</t>
  </si>
  <si>
    <t xml:space="preserve">10. IMPORTANT: only 2 of the 12 expense rows have an exact date in the source (marked 'Yes' in the new 'Has Exact Date' column) - the rest have no date recorded at all, so they won't appear on a date-based frequency chart unless you can supply their dates.</t>
  </si>
  <si>
    <t xml:space="preserve">Year</t>
  </si>
  <si>
    <t xml:space="preserve">Month</t>
  </si>
  <si>
    <t xml:space="preserve">MonthName</t>
  </si>
  <si>
    <t xml:space="preserve">MonthYear</t>
  </si>
  <si>
    <t xml:space="preserve">Day</t>
  </si>
  <si>
    <t xml:space="preserve">Weekday</t>
  </si>
  <si>
    <t xml:space="preserve">WeekdayName</t>
  </si>
  <si>
    <t xml:space="preserve">WeekNumber</t>
  </si>
  <si>
    <t xml:space="preserve">IsWeekend</t>
  </si>
  <si>
    <t xml:space="preserve">April</t>
  </si>
  <si>
    <t xml:space="preserve">Apr 2024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</si>
  <si>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</si>
  <si>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</si>
  <si>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</si>
  <si>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</si>
  <si>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</si>
  <si>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</si>
  <si>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</si>
  <si>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May</t>
  </si>
  <si>
    <t xml:space="preserve">May 2024</t>
  </si>
  <si>
    <t xml:space="preserve">June</t>
  </si>
  <si>
    <t xml:space="preserve">Jun 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</si>
</sst>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hh:mm:ss"/>
    <numFmt numFmtId="167" formatCode="yyyy\-mm\-dd\ hh:mm:ss"/>
    <numFmt numFmtId="168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45407</v>
      </c>
      <c r="B2" s="3" t="n">
        <v>0.0206597222222222</v>
      </c>
      <c r="C2" s="4" t="n">
        <v>45407.0206597222</v>
      </c>
      <c r="D2" s="5" t="s">
        <v>8</v>
      </c>
      <c r="E2" s="6" t="n">
        <v>15</v>
      </c>
      <c r="F2" s="7" t="s">
        <v>9</v>
      </c>
      <c r="G2" s="5" t="s">
        <v>10</v>
      </c>
      <c r="H2" s="5" t="s">
        <v>11</v>
      </c>
    </row>
    <row r="3" customFormat="false" ht="15" hidden="false" customHeight="false" outlineLevel="0" collapsed="false">
      <c r="A3" s="2" t="n">
        <v>45407</v>
      </c>
      <c r="B3" s="3" t="n">
        <v>0.0222569444444444</v>
      </c>
      <c r="C3" s="4" t="n">
        <v>45407.0222569444</v>
      </c>
      <c r="D3" s="5" t="s">
        <v>8</v>
      </c>
      <c r="E3" s="6" t="n">
        <v>10</v>
      </c>
      <c r="F3" s="7" t="s">
        <v>9</v>
      </c>
      <c r="G3" s="5" t="s">
        <v>10</v>
      </c>
      <c r="H3" s="5" t="s">
        <v>11</v>
      </c>
    </row>
    <row r="4" customFormat="false" ht="15" hidden="false" customHeight="false" outlineLevel="0" collapsed="false">
      <c r="A4" s="2" t="n">
        <v>45407</v>
      </c>
      <c r="B4" s="3" t="n">
        <v>0.0229166666666667</v>
      </c>
      <c r="C4" s="4" t="n">
        <v>45407.0229166667</v>
      </c>
      <c r="D4" s="5" t="s">
        <v>8</v>
      </c>
      <c r="E4" s="6" t="n">
        <v>10</v>
      </c>
      <c r="F4" s="7" t="s">
        <v>9</v>
      </c>
      <c r="G4" s="5" t="s">
        <v>10</v>
      </c>
      <c r="H4" s="5" t="s">
        <v>11</v>
      </c>
    </row>
    <row r="5" customFormat="false" ht="15" hidden="false" customHeight="false" outlineLevel="0" collapsed="false">
      <c r="A5" s="2" t="n">
        <v>45407</v>
      </c>
      <c r="B5" s="3" t="n">
        <v>0.0234259259259259</v>
      </c>
      <c r="C5" s="4" t="n">
        <v>45407.0234259259</v>
      </c>
      <c r="D5" s="5" t="s">
        <v>8</v>
      </c>
      <c r="E5" s="6" t="n">
        <v>5</v>
      </c>
      <c r="F5" s="7" t="s">
        <v>9</v>
      </c>
      <c r="G5" s="5" t="s">
        <v>10</v>
      </c>
      <c r="H5" s="5" t="s">
        <v>11</v>
      </c>
    </row>
    <row r="6" customFormat="false" ht="15" hidden="false" customHeight="false" outlineLevel="0" collapsed="false">
      <c r="A6" s="2" t="n">
        <v>45407</v>
      </c>
      <c r="B6" s="3" t="n">
        <v>0.024837962962963</v>
      </c>
      <c r="C6" s="4" t="n">
        <v>45407.024837963</v>
      </c>
      <c r="D6" s="5" t="s">
        <v>8</v>
      </c>
      <c r="E6" s="6" t="n">
        <v>5</v>
      </c>
      <c r="F6" s="7" t="s">
        <v>9</v>
      </c>
      <c r="G6" s="5" t="s">
        <v>10</v>
      </c>
      <c r="H6" s="5" t="s">
        <v>11</v>
      </c>
    </row>
    <row r="7" customFormat="false" ht="15" hidden="false" customHeight="false" outlineLevel="0" collapsed="false">
      <c r="A7" s="2" t="n">
        <v>45407</v>
      </c>
      <c r="B7" s="3" t="n">
        <v>0.0253587962962963</v>
      </c>
      <c r="C7" s="4" t="n">
        <v>45407.0253587963</v>
      </c>
      <c r="D7" s="5" t="s">
        <v>8</v>
      </c>
      <c r="E7" s="6" t="n">
        <v>5</v>
      </c>
      <c r="F7" s="7" t="s">
        <v>9</v>
      </c>
      <c r="G7" s="5" t="s">
        <v>10</v>
      </c>
      <c r="H7" s="5" t="s">
        <v>11</v>
      </c>
    </row>
    <row r="8" customFormat="false" ht="15" hidden="false" customHeight="false" outlineLevel="0" collapsed="false">
      <c r="A8" s="2" t="n">
        <v>45407</v>
      </c>
      <c r="B8" s="3" t="n">
        <v>0.0257638888888889</v>
      </c>
      <c r="C8" s="4" t="n">
        <v>45407.0257638889</v>
      </c>
      <c r="D8" s="5" t="s">
        <v>8</v>
      </c>
      <c r="E8" s="6" t="n">
        <v>10</v>
      </c>
      <c r="F8" s="7" t="s">
        <v>9</v>
      </c>
      <c r="G8" s="5" t="s">
        <v>10</v>
      </c>
      <c r="H8" s="5" t="s">
        <v>11</v>
      </c>
    </row>
    <row r="9" customFormat="false" ht="15" hidden="false" customHeight="false" outlineLevel="0" collapsed="false">
      <c r="A9" s="2" t="n">
        <v>45407</v>
      </c>
      <c r="B9" s="3" t="n">
        <v>0.0269907407407407</v>
      </c>
      <c r="C9" s="4" t="n">
        <v>45407.0269907407</v>
      </c>
      <c r="D9" s="5" t="s">
        <v>8</v>
      </c>
      <c r="E9" s="6" t="n">
        <v>10</v>
      </c>
      <c r="F9" s="7" t="s">
        <v>9</v>
      </c>
      <c r="G9" s="5" t="s">
        <v>10</v>
      </c>
      <c r="H9" s="5" t="s">
        <v>11</v>
      </c>
    </row>
    <row r="10" customFormat="false" ht="15" hidden="false" customHeight="false" outlineLevel="0" collapsed="false">
      <c r="A10" s="2" t="n">
        <v>45407</v>
      </c>
      <c r="B10" s="3" t="n">
        <v>0.0271064814814815</v>
      </c>
      <c r="C10" s="4" t="n">
        <v>45407.0271064815</v>
      </c>
      <c r="D10" s="5" t="s">
        <v>8</v>
      </c>
      <c r="E10" s="6" t="n">
        <v>10</v>
      </c>
      <c r="F10" s="7" t="s">
        <v>9</v>
      </c>
      <c r="G10" s="5" t="s">
        <v>10</v>
      </c>
      <c r="H10" s="5" t="s">
        <v>11</v>
      </c>
    </row>
    <row r="11" customFormat="false" ht="15" hidden="false" customHeight="false" outlineLevel="0" collapsed="false">
      <c r="A11" s="2" t="n">
        <v>45407</v>
      </c>
      <c r="B11" s="3" t="n">
        <v>0.0272800925925926</v>
      </c>
      <c r="C11" s="4" t="n">
        <v>45407.0272800926</v>
      </c>
      <c r="D11" s="5" t="s">
        <v>8</v>
      </c>
      <c r="E11" s="6" t="n">
        <v>10</v>
      </c>
      <c r="F11" s="7" t="s">
        <v>9</v>
      </c>
      <c r="G11" s="5" t="s">
        <v>10</v>
      </c>
      <c r="H11" s="5" t="s">
        <v>11</v>
      </c>
    </row>
    <row r="12" customFormat="false" ht="15" hidden="false" customHeight="false" outlineLevel="0" collapsed="false">
      <c r="A12" s="2" t="n">
        <v>45407</v>
      </c>
      <c r="B12" s="3" t="n">
        <v>0.0288541666666667</v>
      </c>
      <c r="C12" s="4" t="n">
        <v>45407.0288541667</v>
      </c>
      <c r="D12" s="5" t="s">
        <v>8</v>
      </c>
      <c r="E12" s="6" t="n">
        <v>5</v>
      </c>
      <c r="F12" s="7" t="s">
        <v>9</v>
      </c>
      <c r="G12" s="5" t="s">
        <v>10</v>
      </c>
      <c r="H12" s="5" t="s">
        <v>11</v>
      </c>
    </row>
    <row r="13" customFormat="false" ht="15" hidden="false" customHeight="false" outlineLevel="0" collapsed="false">
      <c r="A13" s="2" t="n">
        <v>45407</v>
      </c>
      <c r="B13" s="3" t="n">
        <v>0.0289236111111111</v>
      </c>
      <c r="C13" s="4" t="n">
        <v>45407.0289236111</v>
      </c>
      <c r="D13" s="5" t="s">
        <v>8</v>
      </c>
      <c r="E13" s="6" t="n">
        <v>20</v>
      </c>
      <c r="F13" s="7" t="s">
        <v>9</v>
      </c>
      <c r="G13" s="5" t="s">
        <v>10</v>
      </c>
      <c r="H13" s="5" t="s">
        <v>11</v>
      </c>
    </row>
    <row r="14" customFormat="false" ht="15" hidden="false" customHeight="false" outlineLevel="0" collapsed="false">
      <c r="A14" s="2" t="n">
        <v>45407</v>
      </c>
      <c r="B14" s="3" t="n">
        <v>0.0296064814814815</v>
      </c>
      <c r="C14" s="4" t="n">
        <v>45407.0296064815</v>
      </c>
      <c r="D14" s="5" t="s">
        <v>8</v>
      </c>
      <c r="E14" s="6" t="n">
        <v>10</v>
      </c>
      <c r="F14" s="7" t="s">
        <v>9</v>
      </c>
      <c r="G14" s="5" t="s">
        <v>10</v>
      </c>
      <c r="H14" s="5" t="s">
        <v>11</v>
      </c>
    </row>
    <row r="15" customFormat="false" ht="15" hidden="false" customHeight="false" outlineLevel="0" collapsed="false">
      <c r="A15" s="2" t="n">
        <v>45407</v>
      </c>
      <c r="B15" s="3" t="n">
        <v>0.0316782407407407</v>
      </c>
      <c r="C15" s="4" t="n">
        <v>45407.0316782407</v>
      </c>
      <c r="D15" s="5" t="s">
        <v>8</v>
      </c>
      <c r="E15" s="6" t="n">
        <v>20</v>
      </c>
      <c r="F15" s="7" t="s">
        <v>9</v>
      </c>
      <c r="G15" s="5" t="s">
        <v>10</v>
      </c>
      <c r="H15" s="5" t="s">
        <v>11</v>
      </c>
    </row>
    <row r="16" customFormat="false" ht="15" hidden="false" customHeight="false" outlineLevel="0" collapsed="false">
      <c r="A16" s="2" t="n">
        <v>45407</v>
      </c>
      <c r="B16" s="3" t="n">
        <v>0.0325925925925926</v>
      </c>
      <c r="C16" s="4" t="n">
        <v>45407.0325925926</v>
      </c>
      <c r="D16" s="5" t="s">
        <v>8</v>
      </c>
      <c r="E16" s="6" t="n">
        <v>20</v>
      </c>
      <c r="F16" s="7" t="s">
        <v>9</v>
      </c>
      <c r="G16" s="5" t="s">
        <v>10</v>
      </c>
      <c r="H16" s="5" t="s">
        <v>11</v>
      </c>
    </row>
    <row r="17" customFormat="false" ht="15" hidden="false" customHeight="false" outlineLevel="0" collapsed="false">
      <c r="A17" s="2" t="n">
        <v>45407</v>
      </c>
      <c r="B17" s="3" t="n">
        <v>0.0332060185185185</v>
      </c>
      <c r="C17" s="4" t="n">
        <v>45407.0332060185</v>
      </c>
      <c r="D17" s="5" t="s">
        <v>8</v>
      </c>
      <c r="E17" s="6" t="n">
        <v>5</v>
      </c>
      <c r="F17" s="7" t="s">
        <v>9</v>
      </c>
      <c r="G17" s="5" t="s">
        <v>10</v>
      </c>
      <c r="H17" s="5" t="s">
        <v>11</v>
      </c>
    </row>
    <row r="18" customFormat="false" ht="15" hidden="false" customHeight="false" outlineLevel="0" collapsed="false">
      <c r="A18" s="2" t="n">
        <v>45407</v>
      </c>
      <c r="B18" s="3" t="n">
        <v>0.0380902777777778</v>
      </c>
      <c r="C18" s="4" t="n">
        <v>45407.0380902778</v>
      </c>
      <c r="D18" s="5" t="s">
        <v>8</v>
      </c>
      <c r="E18" s="6" t="n">
        <v>15</v>
      </c>
      <c r="F18" s="7" t="s">
        <v>9</v>
      </c>
      <c r="G18" s="5" t="s">
        <v>10</v>
      </c>
      <c r="H18" s="5" t="s">
        <v>11</v>
      </c>
    </row>
    <row r="19" customFormat="false" ht="15" hidden="false" customHeight="false" outlineLevel="0" collapsed="false">
      <c r="A19" s="2" t="n">
        <v>45407</v>
      </c>
      <c r="B19" s="3" t="n">
        <v>0.0391550925925926</v>
      </c>
      <c r="C19" s="4" t="n">
        <v>45407.0391550926</v>
      </c>
      <c r="D19" s="5" t="s">
        <v>8</v>
      </c>
      <c r="E19" s="6" t="n">
        <v>20</v>
      </c>
      <c r="F19" s="7" t="s">
        <v>9</v>
      </c>
      <c r="G19" s="5" t="s">
        <v>10</v>
      </c>
      <c r="H19" s="5" t="s">
        <v>11</v>
      </c>
    </row>
    <row r="20" customFormat="false" ht="15" hidden="false" customHeight="false" outlineLevel="0" collapsed="false">
      <c r="A20" s="2" t="n">
        <v>45407</v>
      </c>
      <c r="B20" s="3" t="n">
        <v>0.0399537037037037</v>
      </c>
      <c r="C20" s="4" t="n">
        <v>45407.0399537037</v>
      </c>
      <c r="D20" s="5" t="s">
        <v>8</v>
      </c>
      <c r="E20" s="6" t="n">
        <v>20</v>
      </c>
      <c r="F20" s="7" t="s">
        <v>9</v>
      </c>
      <c r="G20" s="5" t="s">
        <v>10</v>
      </c>
      <c r="H20" s="5" t="s">
        <v>11</v>
      </c>
    </row>
    <row r="21" customFormat="false" ht="15" hidden="false" customHeight="false" outlineLevel="0" collapsed="false">
      <c r="A21" s="2" t="n">
        <v>45407</v>
      </c>
      <c r="B21" s="3" t="n">
        <v>0.0406828703703704</v>
      </c>
      <c r="C21" s="4" t="n">
        <v>45407.0406828704</v>
      </c>
      <c r="D21" s="5" t="s">
        <v>8</v>
      </c>
      <c r="E21" s="6" t="n">
        <v>10</v>
      </c>
      <c r="F21" s="7" t="s">
        <v>9</v>
      </c>
      <c r="G21" s="5" t="s">
        <v>10</v>
      </c>
      <c r="H21" s="5" t="s">
        <v>11</v>
      </c>
    </row>
    <row r="22" customFormat="false" ht="15" hidden="false" customHeight="false" outlineLevel="0" collapsed="false">
      <c r="A22" s="2" t="n">
        <v>45407</v>
      </c>
      <c r="B22" s="3" t="n">
        <v>0.0425694444444444</v>
      </c>
      <c r="C22" s="4" t="n">
        <v>45407.0425694444</v>
      </c>
      <c r="D22" s="5" t="s">
        <v>8</v>
      </c>
      <c r="E22" s="6" t="n">
        <v>10</v>
      </c>
      <c r="F22" s="7" t="s">
        <v>9</v>
      </c>
      <c r="G22" s="5" t="s">
        <v>10</v>
      </c>
      <c r="H22" s="5" t="s">
        <v>11</v>
      </c>
    </row>
    <row r="23" customFormat="false" ht="15" hidden="false" customHeight="false" outlineLevel="0" collapsed="false">
      <c r="A23" s="2" t="n">
        <v>45407</v>
      </c>
      <c r="B23" s="3" t="n">
        <v>0.0427199074074074</v>
      </c>
      <c r="C23" s="4" t="n">
        <v>45407.0427199074</v>
      </c>
      <c r="D23" s="5" t="s">
        <v>8</v>
      </c>
      <c r="E23" s="6" t="n">
        <v>20</v>
      </c>
      <c r="F23" s="7" t="s">
        <v>9</v>
      </c>
      <c r="G23" s="5" t="s">
        <v>10</v>
      </c>
      <c r="H23" s="5" t="s">
        <v>11</v>
      </c>
    </row>
    <row r="24" customFormat="false" ht="15" hidden="false" customHeight="false" outlineLevel="0" collapsed="false">
      <c r="A24" s="2" t="n">
        <v>45407</v>
      </c>
      <c r="B24" s="3" t="n">
        <v>0.0455555555555556</v>
      </c>
      <c r="C24" s="4" t="n">
        <v>45407.0455555556</v>
      </c>
      <c r="D24" s="5" t="s">
        <v>8</v>
      </c>
      <c r="E24" s="6" t="n">
        <v>30</v>
      </c>
      <c r="F24" s="7" t="s">
        <v>9</v>
      </c>
      <c r="G24" s="5" t="s">
        <v>10</v>
      </c>
      <c r="H24" s="5" t="s">
        <v>11</v>
      </c>
    </row>
    <row r="25" customFormat="false" ht="15" hidden="false" customHeight="false" outlineLevel="0" collapsed="false">
      <c r="A25" s="2" t="n">
        <v>45407</v>
      </c>
      <c r="B25" s="3" t="n">
        <v>0.0486574074074074</v>
      </c>
      <c r="C25" s="4" t="n">
        <v>45407.0486574074</v>
      </c>
      <c r="D25" s="5" t="s">
        <v>8</v>
      </c>
      <c r="E25" s="6" t="n">
        <v>10</v>
      </c>
      <c r="F25" s="7" t="s">
        <v>9</v>
      </c>
      <c r="G25" s="5" t="s">
        <v>10</v>
      </c>
      <c r="H25" s="5" t="s">
        <v>11</v>
      </c>
    </row>
    <row r="26" customFormat="false" ht="15" hidden="false" customHeight="false" outlineLevel="0" collapsed="false">
      <c r="A26" s="2" t="n">
        <v>45407</v>
      </c>
      <c r="B26" s="3" t="n">
        <v>0.0488310185185185</v>
      </c>
      <c r="C26" s="4" t="n">
        <v>45407.0488310185</v>
      </c>
      <c r="D26" s="5" t="s">
        <v>8</v>
      </c>
      <c r="E26" s="6" t="n">
        <v>50</v>
      </c>
      <c r="F26" s="7" t="s">
        <v>9</v>
      </c>
      <c r="G26" s="5" t="s">
        <v>10</v>
      </c>
      <c r="H26" s="5" t="s">
        <v>11</v>
      </c>
    </row>
    <row r="27" customFormat="false" ht="15" hidden="false" customHeight="false" outlineLevel="0" collapsed="false">
      <c r="A27" s="2" t="n">
        <v>45407</v>
      </c>
      <c r="B27" s="3" t="n">
        <v>0.0492939814814815</v>
      </c>
      <c r="C27" s="4" t="n">
        <v>45407.0492939815</v>
      </c>
      <c r="D27" s="5" t="s">
        <v>8</v>
      </c>
      <c r="E27" s="6" t="n">
        <v>5</v>
      </c>
      <c r="F27" s="7" t="s">
        <v>9</v>
      </c>
      <c r="G27" s="5" t="s">
        <v>10</v>
      </c>
      <c r="H27" s="5" t="s">
        <v>11</v>
      </c>
    </row>
    <row r="28" customFormat="false" ht="15" hidden="false" customHeight="false" outlineLevel="0" collapsed="false">
      <c r="A28" s="2" t="n">
        <v>45407</v>
      </c>
      <c r="B28" s="3" t="n">
        <v>0.0495023148148148</v>
      </c>
      <c r="C28" s="4" t="n">
        <v>45407.0495023148</v>
      </c>
      <c r="D28" s="5" t="s">
        <v>8</v>
      </c>
      <c r="E28" s="6" t="n">
        <v>10</v>
      </c>
      <c r="F28" s="7" t="s">
        <v>9</v>
      </c>
      <c r="G28" s="5" t="s">
        <v>10</v>
      </c>
      <c r="H28" s="5" t="s">
        <v>11</v>
      </c>
    </row>
    <row r="29" customFormat="false" ht="15" hidden="false" customHeight="false" outlineLevel="0" collapsed="false">
      <c r="A29" s="2" t="n">
        <v>45407</v>
      </c>
      <c r="B29" s="3" t="n">
        <v>0.0564467592592593</v>
      </c>
      <c r="C29" s="4" t="n">
        <v>45407.0564467593</v>
      </c>
      <c r="D29" s="5" t="s">
        <v>8</v>
      </c>
      <c r="E29" s="6" t="n">
        <v>10</v>
      </c>
      <c r="F29" s="7" t="s">
        <v>9</v>
      </c>
      <c r="G29" s="5" t="s">
        <v>10</v>
      </c>
      <c r="H29" s="5" t="s">
        <v>11</v>
      </c>
    </row>
    <row r="30" customFormat="false" ht="15" hidden="false" customHeight="false" outlineLevel="0" collapsed="false">
      <c r="A30" s="2" t="n">
        <v>45407</v>
      </c>
      <c r="B30" s="3" t="n">
        <v>0.0574074074074074</v>
      </c>
      <c r="C30" s="4" t="n">
        <v>45407.0574074074</v>
      </c>
      <c r="D30" s="5" t="s">
        <v>8</v>
      </c>
      <c r="E30" s="6" t="n">
        <v>50</v>
      </c>
      <c r="F30" s="7" t="s">
        <v>9</v>
      </c>
      <c r="G30" s="5" t="s">
        <v>10</v>
      </c>
      <c r="H30" s="5" t="s">
        <v>11</v>
      </c>
    </row>
    <row r="31" customFormat="false" ht="15" hidden="false" customHeight="false" outlineLevel="0" collapsed="false">
      <c r="A31" s="2" t="n">
        <v>45407</v>
      </c>
      <c r="B31" s="3" t="n">
        <v>0.0740046296296296</v>
      </c>
      <c r="C31" s="4" t="n">
        <v>45407.0740046296</v>
      </c>
      <c r="D31" s="5" t="s">
        <v>8</v>
      </c>
      <c r="E31" s="6" t="n">
        <v>100</v>
      </c>
      <c r="F31" s="7" t="s">
        <v>9</v>
      </c>
      <c r="G31" s="5" t="s">
        <v>10</v>
      </c>
      <c r="H31" s="5" t="s">
        <v>11</v>
      </c>
    </row>
    <row r="32" customFormat="false" ht="15" hidden="false" customHeight="false" outlineLevel="0" collapsed="false">
      <c r="A32" s="2" t="n">
        <v>45407</v>
      </c>
      <c r="B32" s="3" t="n">
        <v>0.124224537037037</v>
      </c>
      <c r="C32" s="4" t="n">
        <v>45407.124224537</v>
      </c>
      <c r="D32" s="5" t="s">
        <v>8</v>
      </c>
      <c r="E32" s="6" t="n">
        <v>30</v>
      </c>
      <c r="F32" s="7" t="s">
        <v>9</v>
      </c>
      <c r="G32" s="5" t="s">
        <v>10</v>
      </c>
      <c r="H32" s="5" t="s">
        <v>11</v>
      </c>
    </row>
    <row r="33" customFormat="false" ht="15" hidden="false" customHeight="false" outlineLevel="0" collapsed="false">
      <c r="A33" s="2" t="n">
        <v>45407</v>
      </c>
      <c r="B33" s="3" t="n">
        <v>0.298923611111111</v>
      </c>
      <c r="C33" s="4" t="n">
        <v>45407.2989236111</v>
      </c>
      <c r="D33" s="5" t="s">
        <v>8</v>
      </c>
      <c r="E33" s="6" t="n">
        <v>20</v>
      </c>
      <c r="F33" s="7" t="s">
        <v>9</v>
      </c>
      <c r="G33" s="5" t="s">
        <v>10</v>
      </c>
      <c r="H33" s="5" t="s">
        <v>11</v>
      </c>
    </row>
    <row r="34" customFormat="false" ht="15" hidden="false" customHeight="false" outlineLevel="0" collapsed="false">
      <c r="A34" s="2" t="n">
        <v>45407</v>
      </c>
      <c r="B34" s="3" t="n">
        <v>0.303854166666667</v>
      </c>
      <c r="C34" s="4" t="n">
        <v>45407.3038541667</v>
      </c>
      <c r="D34" s="5" t="s">
        <v>8</v>
      </c>
      <c r="E34" s="6" t="n">
        <v>10</v>
      </c>
      <c r="F34" s="7" t="s">
        <v>9</v>
      </c>
      <c r="G34" s="5" t="s">
        <v>10</v>
      </c>
      <c r="H34" s="5" t="s">
        <v>11</v>
      </c>
    </row>
    <row r="35" customFormat="false" ht="15" hidden="false" customHeight="false" outlineLevel="0" collapsed="false">
      <c r="A35" s="2" t="n">
        <v>45407</v>
      </c>
      <c r="B35" s="3" t="n">
        <v>0.313935185185185</v>
      </c>
      <c r="C35" s="4" t="n">
        <v>45407.3139351852</v>
      </c>
      <c r="D35" s="5" t="s">
        <v>8</v>
      </c>
      <c r="E35" s="6" t="n">
        <v>20</v>
      </c>
      <c r="F35" s="7" t="s">
        <v>9</v>
      </c>
      <c r="G35" s="5" t="s">
        <v>10</v>
      </c>
      <c r="H35" s="5" t="s">
        <v>11</v>
      </c>
    </row>
    <row r="36" customFormat="false" ht="15" hidden="false" customHeight="false" outlineLevel="0" collapsed="false">
      <c r="A36" s="2" t="n">
        <v>45407</v>
      </c>
      <c r="B36" s="3" t="n">
        <v>0.315763888888889</v>
      </c>
      <c r="C36" s="4" t="n">
        <v>45407.3157638889</v>
      </c>
      <c r="D36" s="5" t="s">
        <v>8</v>
      </c>
      <c r="E36" s="6" t="n">
        <v>10</v>
      </c>
      <c r="F36" s="7" t="s">
        <v>9</v>
      </c>
      <c r="G36" s="5" t="s">
        <v>10</v>
      </c>
      <c r="H36" s="5" t="s">
        <v>11</v>
      </c>
    </row>
    <row r="37" customFormat="false" ht="15" hidden="false" customHeight="false" outlineLevel="0" collapsed="false">
      <c r="A37" s="2" t="n">
        <v>45407</v>
      </c>
      <c r="B37" s="3" t="n">
        <v>0.323391203703704</v>
      </c>
      <c r="C37" s="4" t="n">
        <v>45407.3233912037</v>
      </c>
      <c r="D37" s="5" t="s">
        <v>8</v>
      </c>
      <c r="E37" s="6" t="n">
        <v>10</v>
      </c>
      <c r="F37" s="7" t="s">
        <v>9</v>
      </c>
      <c r="G37" s="5" t="s">
        <v>10</v>
      </c>
      <c r="H37" s="5" t="s">
        <v>11</v>
      </c>
    </row>
    <row r="38" customFormat="false" ht="15" hidden="false" customHeight="false" outlineLevel="0" collapsed="false">
      <c r="A38" s="2" t="n">
        <v>45407</v>
      </c>
      <c r="B38" s="3" t="n">
        <v>0.326145833333333</v>
      </c>
      <c r="C38" s="4" t="n">
        <v>45407.3261458333</v>
      </c>
      <c r="D38" s="5" t="s">
        <v>8</v>
      </c>
      <c r="E38" s="6" t="n">
        <v>30</v>
      </c>
      <c r="F38" s="7" t="s">
        <v>9</v>
      </c>
      <c r="G38" s="5" t="s">
        <v>10</v>
      </c>
      <c r="H38" s="5" t="s">
        <v>11</v>
      </c>
    </row>
    <row r="39" customFormat="false" ht="15" hidden="false" customHeight="false" outlineLevel="0" collapsed="false">
      <c r="A39" s="2" t="n">
        <v>45407</v>
      </c>
      <c r="B39" s="3" t="n">
        <v>0.330162037037037</v>
      </c>
      <c r="C39" s="4" t="n">
        <v>45407.330162037</v>
      </c>
      <c r="D39" s="5" t="s">
        <v>8</v>
      </c>
      <c r="E39" s="6" t="n">
        <v>10</v>
      </c>
      <c r="F39" s="7" t="s">
        <v>9</v>
      </c>
      <c r="G39" s="5" t="s">
        <v>10</v>
      </c>
      <c r="H39" s="5" t="s">
        <v>11</v>
      </c>
    </row>
    <row r="40" customFormat="false" ht="15" hidden="false" customHeight="false" outlineLevel="0" collapsed="false">
      <c r="A40" s="2" t="n">
        <v>45407</v>
      </c>
      <c r="B40" s="3" t="n">
        <v>0.335104166666667</v>
      </c>
      <c r="C40" s="4" t="n">
        <v>45407.3351041667</v>
      </c>
      <c r="D40" s="5" t="s">
        <v>8</v>
      </c>
      <c r="E40" s="6" t="n">
        <v>10</v>
      </c>
      <c r="F40" s="7" t="s">
        <v>9</v>
      </c>
      <c r="G40" s="5" t="s">
        <v>10</v>
      </c>
      <c r="H40" s="5" t="s">
        <v>11</v>
      </c>
    </row>
    <row r="41" customFormat="false" ht="15" hidden="false" customHeight="false" outlineLevel="0" collapsed="false">
      <c r="A41" s="2" t="n">
        <v>45407</v>
      </c>
      <c r="B41" s="3" t="n">
        <v>0.344085648148148</v>
      </c>
      <c r="C41" s="4" t="n">
        <v>45407.3440856482</v>
      </c>
      <c r="D41" s="5" t="s">
        <v>8</v>
      </c>
      <c r="E41" s="6" t="n">
        <v>10</v>
      </c>
      <c r="F41" s="7" t="s">
        <v>9</v>
      </c>
      <c r="G41" s="5" t="s">
        <v>10</v>
      </c>
      <c r="H41" s="5" t="s">
        <v>11</v>
      </c>
    </row>
    <row r="42" customFormat="false" ht="15" hidden="false" customHeight="false" outlineLevel="0" collapsed="false">
      <c r="A42" s="2" t="n">
        <v>45407</v>
      </c>
      <c r="B42" s="3" t="n">
        <v>0.34662037037037</v>
      </c>
      <c r="C42" s="4" t="n">
        <v>45407.3466203704</v>
      </c>
      <c r="D42" s="5" t="s">
        <v>8</v>
      </c>
      <c r="E42" s="6" t="n">
        <v>50</v>
      </c>
      <c r="F42" s="7" t="s">
        <v>9</v>
      </c>
      <c r="G42" s="5" t="s">
        <v>10</v>
      </c>
      <c r="H42" s="5" t="s">
        <v>11</v>
      </c>
    </row>
    <row r="43" customFormat="false" ht="15" hidden="false" customHeight="false" outlineLevel="0" collapsed="false">
      <c r="A43" s="2" t="n">
        <v>45407</v>
      </c>
      <c r="B43" s="3" t="n">
        <v>0.351157407407407</v>
      </c>
      <c r="C43" s="4" t="n">
        <v>45407.3511574074</v>
      </c>
      <c r="D43" s="5" t="s">
        <v>8</v>
      </c>
      <c r="E43" s="6" t="n">
        <v>5</v>
      </c>
      <c r="F43" s="7" t="s">
        <v>9</v>
      </c>
      <c r="G43" s="5" t="s">
        <v>10</v>
      </c>
      <c r="H43" s="5" t="s">
        <v>11</v>
      </c>
    </row>
    <row r="44" customFormat="false" ht="15" hidden="false" customHeight="false" outlineLevel="0" collapsed="false">
      <c r="A44" s="2" t="n">
        <v>45407</v>
      </c>
      <c r="B44" s="3" t="n">
        <v>0.351319444444445</v>
      </c>
      <c r="C44" s="4" t="n">
        <v>45407.3513194445</v>
      </c>
      <c r="D44" s="5" t="s">
        <v>8</v>
      </c>
      <c r="E44" s="6" t="n">
        <v>10</v>
      </c>
      <c r="F44" s="7" t="s">
        <v>9</v>
      </c>
      <c r="G44" s="5" t="s">
        <v>10</v>
      </c>
      <c r="H44" s="5" t="s">
        <v>11</v>
      </c>
    </row>
    <row r="45" customFormat="false" ht="15" hidden="false" customHeight="false" outlineLevel="0" collapsed="false">
      <c r="A45" s="2" t="n">
        <v>45407</v>
      </c>
      <c r="B45" s="3" t="n">
        <v>0.357997685185185</v>
      </c>
      <c r="C45" s="4" t="n">
        <v>45407.3579976852</v>
      </c>
      <c r="D45" s="5" t="s">
        <v>8</v>
      </c>
      <c r="E45" s="6" t="n">
        <v>10</v>
      </c>
      <c r="F45" s="7" t="s">
        <v>9</v>
      </c>
      <c r="G45" s="5" t="s">
        <v>10</v>
      </c>
      <c r="H45" s="5" t="s">
        <v>11</v>
      </c>
    </row>
    <row r="46" customFormat="false" ht="15" hidden="false" customHeight="false" outlineLevel="0" collapsed="false">
      <c r="A46" s="2" t="n">
        <v>45407</v>
      </c>
      <c r="B46" s="3" t="n">
        <v>0.360891203703704</v>
      </c>
      <c r="C46" s="4" t="n">
        <v>45407.3608912037</v>
      </c>
      <c r="D46" s="5" t="s">
        <v>8</v>
      </c>
      <c r="E46" s="6" t="n">
        <v>20</v>
      </c>
      <c r="F46" s="7" t="s">
        <v>9</v>
      </c>
      <c r="G46" s="5" t="s">
        <v>10</v>
      </c>
      <c r="H46" s="5" t="s">
        <v>11</v>
      </c>
    </row>
    <row r="47" customFormat="false" ht="15" hidden="false" customHeight="false" outlineLevel="0" collapsed="false">
      <c r="A47" s="2" t="n">
        <v>45407</v>
      </c>
      <c r="B47" s="3" t="n">
        <v>0.361909722222222</v>
      </c>
      <c r="C47" s="4" t="n">
        <v>45407.3619097222</v>
      </c>
      <c r="D47" s="5" t="s">
        <v>8</v>
      </c>
      <c r="E47" s="6" t="n">
        <v>50</v>
      </c>
      <c r="F47" s="7" t="s">
        <v>9</v>
      </c>
      <c r="G47" s="5" t="s">
        <v>10</v>
      </c>
      <c r="H47" s="5" t="s">
        <v>11</v>
      </c>
    </row>
    <row r="48" customFormat="false" ht="15" hidden="false" customHeight="false" outlineLevel="0" collapsed="false">
      <c r="A48" s="2" t="n">
        <v>45407</v>
      </c>
      <c r="B48" s="3" t="n">
        <v>0.3625</v>
      </c>
      <c r="C48" s="4" t="n">
        <v>45407.3625</v>
      </c>
      <c r="D48" s="5" t="s">
        <v>8</v>
      </c>
      <c r="E48" s="6" t="n">
        <v>5</v>
      </c>
      <c r="F48" s="7" t="s">
        <v>9</v>
      </c>
      <c r="G48" s="5" t="s">
        <v>10</v>
      </c>
      <c r="H48" s="5" t="s">
        <v>11</v>
      </c>
    </row>
    <row r="49" customFormat="false" ht="15" hidden="false" customHeight="false" outlineLevel="0" collapsed="false">
      <c r="A49" s="2" t="n">
        <v>45407</v>
      </c>
      <c r="B49" s="3" t="n">
        <v>0.364525462962963</v>
      </c>
      <c r="C49" s="4" t="n">
        <v>45407.364525463</v>
      </c>
      <c r="D49" s="5" t="s">
        <v>8</v>
      </c>
      <c r="E49" s="6" t="n">
        <v>20</v>
      </c>
      <c r="F49" s="7" t="s">
        <v>9</v>
      </c>
      <c r="G49" s="5" t="s">
        <v>10</v>
      </c>
      <c r="H49" s="5" t="s">
        <v>11</v>
      </c>
    </row>
    <row r="50" customFormat="false" ht="15" hidden="false" customHeight="false" outlineLevel="0" collapsed="false">
      <c r="A50" s="2" t="n">
        <v>45407</v>
      </c>
      <c r="B50" s="3" t="n">
        <v>0.0210416666666667</v>
      </c>
      <c r="C50" s="4" t="n">
        <v>45407.0210416667</v>
      </c>
      <c r="D50" s="5" t="s">
        <v>12</v>
      </c>
      <c r="E50" s="6" t="n">
        <v>10</v>
      </c>
      <c r="F50" s="7" t="s">
        <v>9</v>
      </c>
      <c r="G50" s="5" t="s">
        <v>10</v>
      </c>
      <c r="H50" s="5" t="s">
        <v>11</v>
      </c>
    </row>
    <row r="51" customFormat="false" ht="15" hidden="false" customHeight="false" outlineLevel="0" collapsed="false">
      <c r="A51" s="2" t="n">
        <v>45407</v>
      </c>
      <c r="B51" s="3" t="n">
        <v>0.35625</v>
      </c>
      <c r="C51" s="4" t="n">
        <v>45407.35625</v>
      </c>
      <c r="D51" s="5" t="s">
        <v>12</v>
      </c>
      <c r="E51" s="6" t="n">
        <v>10</v>
      </c>
      <c r="F51" s="7" t="s">
        <v>9</v>
      </c>
      <c r="G51" s="5" t="s">
        <v>10</v>
      </c>
      <c r="H51" s="5" t="s">
        <v>11</v>
      </c>
    </row>
    <row r="52" customFormat="false" ht="15" hidden="false" customHeight="false" outlineLevel="0" collapsed="false">
      <c r="A52" s="2" t="n">
        <v>45407</v>
      </c>
      <c r="B52" s="3" t="n">
        <v>0.359027777777778</v>
      </c>
      <c r="C52" s="4" t="n">
        <v>45407.3590277778</v>
      </c>
      <c r="D52" s="5" t="s">
        <v>12</v>
      </c>
      <c r="E52" s="6" t="n">
        <v>20</v>
      </c>
      <c r="F52" s="7" t="s">
        <v>9</v>
      </c>
      <c r="G52" s="5" t="s">
        <v>10</v>
      </c>
      <c r="H52" s="5" t="s">
        <v>11</v>
      </c>
    </row>
    <row r="53" customFormat="false" ht="15" hidden="false" customHeight="false" outlineLevel="0" collapsed="false">
      <c r="A53" s="2" t="n">
        <v>45407</v>
      </c>
      <c r="B53" s="3" t="n">
        <v>0.360416666666667</v>
      </c>
      <c r="C53" s="4" t="n">
        <v>45407.3604166667</v>
      </c>
      <c r="D53" s="5" t="s">
        <v>12</v>
      </c>
      <c r="E53" s="6" t="n">
        <v>30</v>
      </c>
      <c r="F53" s="7" t="s">
        <v>9</v>
      </c>
      <c r="G53" s="5" t="s">
        <v>10</v>
      </c>
      <c r="H53" s="5" t="s">
        <v>11</v>
      </c>
    </row>
    <row r="54" customFormat="false" ht="15" hidden="false" customHeight="false" outlineLevel="0" collapsed="false">
      <c r="A54" s="2" t="n">
        <v>45407</v>
      </c>
      <c r="B54" s="3" t="n">
        <v>0.542361111111111</v>
      </c>
      <c r="C54" s="4" t="n">
        <v>45407.5423611111</v>
      </c>
      <c r="D54" s="5" t="s">
        <v>12</v>
      </c>
      <c r="E54" s="6" t="n">
        <v>10</v>
      </c>
      <c r="F54" s="7" t="s">
        <v>9</v>
      </c>
      <c r="G54" s="5" t="s">
        <v>10</v>
      </c>
      <c r="H54" s="5" t="s">
        <v>11</v>
      </c>
    </row>
    <row r="55" customFormat="false" ht="15" hidden="false" customHeight="false" outlineLevel="0" collapsed="false">
      <c r="A55" s="5"/>
      <c r="B55" s="5"/>
      <c r="C55" s="5"/>
      <c r="D55" s="5" t="s">
        <v>8</v>
      </c>
      <c r="E55" s="6" t="n">
        <v>155</v>
      </c>
      <c r="F55" s="7" t="s">
        <v>13</v>
      </c>
      <c r="G55" s="5" t="s">
        <v>10</v>
      </c>
      <c r="H55" s="5" t="s">
        <v>11</v>
      </c>
    </row>
    <row r="56" customFormat="false" ht="15" hidden="false" customHeight="false" outlineLevel="0" collapsed="false">
      <c r="A56" s="2" t="n">
        <v>45453</v>
      </c>
      <c r="B56" s="5"/>
      <c r="C56" s="5"/>
      <c r="D56" s="5" t="s">
        <v>12</v>
      </c>
      <c r="E56" s="6" t="n">
        <v>60</v>
      </c>
      <c r="F56" s="7" t="s">
        <v>14</v>
      </c>
      <c r="G56" s="5" t="s">
        <v>10</v>
      </c>
      <c r="H56" s="5" t="s">
        <v>15</v>
      </c>
    </row>
    <row r="57" customFormat="false" ht="15" hidden="false" customHeight="false" outlineLevel="0" collapsed="false">
      <c r="A57" s="2" t="n">
        <v>45456</v>
      </c>
      <c r="B57" s="5"/>
      <c r="C57" s="5"/>
      <c r="D57" s="5" t="s">
        <v>12</v>
      </c>
      <c r="E57" s="6" t="n">
        <v>50</v>
      </c>
      <c r="F57" s="7" t="s">
        <v>14</v>
      </c>
      <c r="G57" s="5" t="s">
        <v>10</v>
      </c>
      <c r="H57" s="5" t="s">
        <v>15</v>
      </c>
    </row>
    <row r="58" customFormat="false" ht="15" hidden="false" customHeight="false" outlineLevel="0" collapsed="false">
      <c r="A58" s="2" t="n">
        <v>45463</v>
      </c>
      <c r="B58" s="5"/>
      <c r="C58" s="5"/>
      <c r="D58" s="5" t="s">
        <v>12</v>
      </c>
      <c r="E58" s="6" t="n">
        <v>80</v>
      </c>
      <c r="F58" s="7" t="s">
        <v>14</v>
      </c>
      <c r="G58" s="5" t="s">
        <v>10</v>
      </c>
      <c r="H58" s="5" t="s">
        <v>15</v>
      </c>
    </row>
    <row r="59" customFormat="false" ht="15" hidden="false" customHeight="false" outlineLevel="0" collapsed="false">
      <c r="A59" s="2" t="n">
        <v>45464</v>
      </c>
      <c r="B59" s="5"/>
      <c r="C59" s="5"/>
      <c r="D59" s="5" t="s">
        <v>12</v>
      </c>
      <c r="E59" s="6" t="n">
        <v>100</v>
      </c>
      <c r="F59" s="7" t="s">
        <v>14</v>
      </c>
      <c r="G59" s="5" t="s">
        <v>10</v>
      </c>
      <c r="H59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</v>
      </c>
      <c r="G1" s="1" t="s">
        <v>20</v>
      </c>
      <c r="H1" s="1" t="s">
        <v>6</v>
      </c>
    </row>
    <row r="2" customFormat="false" ht="15" hidden="false" customHeight="false" outlineLevel="0" collapsed="false">
      <c r="A2" s="5"/>
      <c r="B2" s="5" t="s">
        <v>21</v>
      </c>
      <c r="C2" s="5" t="s">
        <v>11</v>
      </c>
      <c r="D2" s="7" t="s">
        <v>22</v>
      </c>
      <c r="E2" s="7" t="s">
        <v>23</v>
      </c>
      <c r="F2" s="6" t="n">
        <v>269</v>
      </c>
      <c r="G2" s="5" t="s">
        <v>24</v>
      </c>
      <c r="H2" s="5" t="s">
        <v>25</v>
      </c>
    </row>
    <row r="3" customFormat="false" ht="17.15" hidden="false" customHeight="false" outlineLevel="0" collapsed="false">
      <c r="A3" s="5"/>
      <c r="B3" s="5" t="s">
        <v>21</v>
      </c>
      <c r="C3" s="5" t="s">
        <v>11</v>
      </c>
      <c r="D3" s="7" t="s">
        <v>26</v>
      </c>
      <c r="E3" s="7" t="s">
        <v>27</v>
      </c>
      <c r="F3" s="6" t="n">
        <v>45</v>
      </c>
      <c r="G3" s="5" t="s">
        <v>24</v>
      </c>
      <c r="H3" s="5" t="s">
        <v>25</v>
      </c>
    </row>
    <row r="4" customFormat="false" ht="17.15" hidden="false" customHeight="false" outlineLevel="0" collapsed="false">
      <c r="A4" s="5"/>
      <c r="B4" s="5" t="s">
        <v>21</v>
      </c>
      <c r="C4" s="5" t="s">
        <v>11</v>
      </c>
      <c r="D4" s="7" t="s">
        <v>28</v>
      </c>
      <c r="E4" s="7" t="s">
        <v>29</v>
      </c>
      <c r="F4" s="6" t="n">
        <v>60</v>
      </c>
      <c r="G4" s="5" t="s">
        <v>21</v>
      </c>
      <c r="H4" s="5" t="s">
        <v>25</v>
      </c>
    </row>
    <row r="5" customFormat="false" ht="15" hidden="false" customHeight="false" outlineLevel="0" collapsed="false">
      <c r="A5" s="2" t="n">
        <v>45411</v>
      </c>
      <c r="B5" s="5" t="s">
        <v>24</v>
      </c>
      <c r="C5" s="5" t="s">
        <v>11</v>
      </c>
      <c r="D5" s="7" t="s">
        <v>30</v>
      </c>
      <c r="E5" s="7" t="s">
        <v>31</v>
      </c>
      <c r="F5" s="6" t="n">
        <v>19.8</v>
      </c>
      <c r="G5" s="5" t="s">
        <v>24</v>
      </c>
      <c r="H5" s="5" t="s">
        <v>25</v>
      </c>
    </row>
    <row r="6" customFormat="false" ht="15" hidden="false" customHeight="false" outlineLevel="0" collapsed="false">
      <c r="A6" s="5"/>
      <c r="B6" s="5" t="s">
        <v>21</v>
      </c>
      <c r="C6" s="5" t="s">
        <v>32</v>
      </c>
      <c r="D6" s="7" t="s">
        <v>33</v>
      </c>
      <c r="E6" s="7" t="s">
        <v>34</v>
      </c>
      <c r="F6" s="6" t="n">
        <v>66.5</v>
      </c>
      <c r="G6" s="5" t="s">
        <v>24</v>
      </c>
      <c r="H6" s="5" t="s">
        <v>25</v>
      </c>
    </row>
    <row r="7" customFormat="false" ht="15" hidden="false" customHeight="false" outlineLevel="0" collapsed="false">
      <c r="A7" s="5"/>
      <c r="B7" s="5" t="s">
        <v>21</v>
      </c>
      <c r="C7" s="5" t="s">
        <v>32</v>
      </c>
      <c r="D7" s="7" t="s">
        <v>30</v>
      </c>
      <c r="E7" s="7" t="s">
        <v>35</v>
      </c>
      <c r="F7" s="6" t="n">
        <v>275.7</v>
      </c>
      <c r="G7" s="5" t="s">
        <v>24</v>
      </c>
      <c r="H7" s="5" t="s">
        <v>25</v>
      </c>
    </row>
    <row r="8" customFormat="false" ht="15" hidden="false" customHeight="false" outlineLevel="0" collapsed="false">
      <c r="A8" s="5"/>
      <c r="B8" s="5" t="s">
        <v>21</v>
      </c>
      <c r="C8" s="5" t="s">
        <v>32</v>
      </c>
      <c r="D8" s="7" t="s">
        <v>36</v>
      </c>
      <c r="E8" s="7" t="s">
        <v>37</v>
      </c>
      <c r="F8" s="6" t="n">
        <v>122.6</v>
      </c>
      <c r="G8" s="5" t="s">
        <v>24</v>
      </c>
      <c r="H8" s="5" t="s">
        <v>25</v>
      </c>
    </row>
    <row r="9" customFormat="false" ht="15" hidden="false" customHeight="false" outlineLevel="0" collapsed="false">
      <c r="A9" s="5"/>
      <c r="B9" s="5" t="s">
        <v>21</v>
      </c>
      <c r="C9" s="5" t="s">
        <v>32</v>
      </c>
      <c r="D9" s="7" t="s">
        <v>38</v>
      </c>
      <c r="E9" s="7" t="s">
        <v>38</v>
      </c>
      <c r="F9" s="6" t="n">
        <v>45</v>
      </c>
      <c r="G9" s="5" t="s">
        <v>21</v>
      </c>
      <c r="H9" s="5" t="s">
        <v>25</v>
      </c>
    </row>
    <row r="10" customFormat="false" ht="15" hidden="false" customHeight="false" outlineLevel="0" collapsed="false">
      <c r="A10" s="5"/>
      <c r="B10" s="5" t="s">
        <v>21</v>
      </c>
      <c r="C10" s="5" t="s">
        <v>32</v>
      </c>
      <c r="D10" s="7" t="s">
        <v>39</v>
      </c>
      <c r="E10" s="7" t="s">
        <v>40</v>
      </c>
      <c r="F10" s="6" t="n">
        <v>266</v>
      </c>
      <c r="G10" s="5" t="s">
        <v>24</v>
      </c>
      <c r="H10" s="5" t="s">
        <v>25</v>
      </c>
    </row>
    <row r="11" customFormat="false" ht="15" hidden="false" customHeight="false" outlineLevel="0" collapsed="false">
      <c r="A11" s="5"/>
      <c r="B11" s="5" t="s">
        <v>21</v>
      </c>
      <c r="C11" s="5" t="s">
        <v>41</v>
      </c>
      <c r="D11" s="7" t="s">
        <v>42</v>
      </c>
      <c r="E11" s="7" t="s">
        <v>43</v>
      </c>
      <c r="F11" s="6" t="n">
        <v>320.75</v>
      </c>
      <c r="G11" s="5" t="s">
        <v>24</v>
      </c>
      <c r="H11" s="5" t="s">
        <v>25</v>
      </c>
    </row>
    <row r="12" customFormat="false" ht="15" hidden="false" customHeight="false" outlineLevel="0" collapsed="false">
      <c r="A12" s="2" t="n">
        <v>45464</v>
      </c>
      <c r="B12" s="5" t="s">
        <v>24</v>
      </c>
      <c r="C12" s="5" t="s">
        <v>11</v>
      </c>
      <c r="D12" s="7" t="s">
        <v>30</v>
      </c>
      <c r="E12" s="7" t="s">
        <v>44</v>
      </c>
      <c r="F12" s="6" t="n">
        <v>78</v>
      </c>
      <c r="G12" s="5" t="s">
        <v>24</v>
      </c>
      <c r="H12" s="5" t="s">
        <v>25</v>
      </c>
    </row>
    <row r="13" customFormat="false" ht="15" hidden="false" customHeight="false" outlineLevel="0" collapsed="false">
      <c r="A13" s="5"/>
      <c r="B13" s="5" t="s">
        <v>21</v>
      </c>
      <c r="C13" s="5" t="s">
        <v>32</v>
      </c>
      <c r="D13" s="7" t="s">
        <v>45</v>
      </c>
      <c r="E13" s="7" t="s">
        <v>46</v>
      </c>
      <c r="F13" s="6" t="n">
        <v>150</v>
      </c>
      <c r="G13" s="5" t="s">
        <v>21</v>
      </c>
      <c r="H13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8" t="s">
        <v>47</v>
      </c>
      <c r="B1" s="8"/>
    </row>
    <row r="3" customFormat="false" ht="15" hidden="false" customHeight="false" outlineLevel="0" collapsed="false">
      <c r="A3" s="1" t="s">
        <v>48</v>
      </c>
      <c r="B3" s="1" t="s">
        <v>4</v>
      </c>
    </row>
    <row r="4" customFormat="false" ht="15" hidden="false" customHeight="false" outlineLevel="0" collapsed="false">
      <c r="A4" s="7" t="s">
        <v>49</v>
      </c>
      <c r="B4" s="6" t="n">
        <f aca="false">SUM(Donations!E2:E59)</f>
        <v>1385</v>
      </c>
    </row>
    <row r="5" customFormat="false" ht="15" hidden="false" customHeight="false" outlineLevel="0" collapsed="false">
      <c r="A5" s="9" t="s">
        <v>50</v>
      </c>
      <c r="B5" s="10" t="n">
        <f aca="false">SUMIF(Donations!H2:H59,"General",Donations!E2:E59)</f>
        <v>1095</v>
      </c>
    </row>
    <row r="6" customFormat="false" ht="15" hidden="false" customHeight="false" outlineLevel="0" collapsed="false">
      <c r="A6" s="9" t="s">
        <v>51</v>
      </c>
      <c r="B6" s="10" t="n">
        <f aca="false">SUMIF(Donations!H2:H59,"Volunteer Donation",Donations!E2:E59)</f>
        <v>290</v>
      </c>
    </row>
    <row r="7" customFormat="false" ht="15" hidden="false" customHeight="false" outlineLevel="0" collapsed="false">
      <c r="A7" s="7" t="s">
        <v>52</v>
      </c>
      <c r="B7" s="6" t="n">
        <f aca="false">SUM(Expenses!F2:F13)</f>
        <v>1718.35</v>
      </c>
    </row>
    <row r="8" customFormat="false" ht="15" hidden="false" customHeight="false" outlineLevel="0" collapsed="false">
      <c r="A8" s="9" t="s">
        <v>53</v>
      </c>
      <c r="B8" s="10" t="n">
        <f aca="false">SUMIF(Expenses!C2:C13,"Riley",Expenses!F2:F13)</f>
        <v>925.8</v>
      </c>
    </row>
    <row r="9" customFormat="false" ht="15" hidden="false" customHeight="false" outlineLevel="0" collapsed="false">
      <c r="A9" s="9" t="s">
        <v>54</v>
      </c>
      <c r="B9" s="10" t="n">
        <f aca="false">SUMIF(Expenses!C2:C13,"Xiaopao",Expenses!F2:F13)</f>
        <v>320.75</v>
      </c>
    </row>
    <row r="10" customFormat="false" ht="15" hidden="false" customHeight="false" outlineLevel="0" collapsed="false">
      <c r="A10" s="9" t="s">
        <v>55</v>
      </c>
      <c r="B10" s="10" t="n">
        <f aca="false">SUMIF(Expenses!C2:C13,"General",Expenses!F2:F13)</f>
        <v>471.8</v>
      </c>
    </row>
    <row r="11" customFormat="false" ht="15" hidden="false" customHeight="false" outlineLevel="0" collapsed="false">
      <c r="A11" s="7" t="s">
        <v>56</v>
      </c>
      <c r="B11" s="6" t="n">
        <v>177</v>
      </c>
    </row>
    <row r="12" customFormat="false" ht="15" hidden="false" customHeight="false" outlineLevel="0" collapsed="false">
      <c r="A12" s="7" t="s">
        <v>57</v>
      </c>
      <c r="B12" s="6" t="n">
        <f aca="false">B4-B7</f>
        <v>-333.35</v>
      </c>
    </row>
    <row r="13" customFormat="false" ht="15" hidden="false" customHeight="false" outlineLevel="0" collapsed="false">
      <c r="A13" s="7" t="s">
        <v>58</v>
      </c>
      <c r="B13" s="6" t="n">
        <v>1272</v>
      </c>
    </row>
    <row r="15" customFormat="false" ht="15" hidden="false" customHeight="false" outlineLevel="0" collapsed="false">
      <c r="A15" s="11" t="s">
        <v>59</v>
      </c>
      <c r="B15" s="12"/>
    </row>
    <row r="16" customFormat="false" ht="15" hidden="false" customHeight="false" outlineLevel="0" collapsed="false">
      <c r="A16" s="7" t="s">
        <v>60</v>
      </c>
      <c r="B16" s="13" t="n">
        <v>775.8</v>
      </c>
    </row>
    <row r="17" customFormat="false" ht="15" hidden="false" customHeight="false" outlineLevel="0" collapsed="false">
      <c r="A17" s="7" t="s">
        <v>61</v>
      </c>
      <c r="B17" s="13" t="n">
        <v>102.4</v>
      </c>
    </row>
    <row r="18" customFormat="false" ht="15" hidden="false" customHeight="false" outlineLevel="0" collapsed="false">
      <c r="A18" s="7" t="s">
        <v>62</v>
      </c>
      <c r="B18" s="13" t="n">
        <v>320.75</v>
      </c>
    </row>
    <row r="19" customFormat="false" ht="15" hidden="false" customHeight="false" outlineLevel="0" collapsed="false">
      <c r="A19" s="7" t="s">
        <v>63</v>
      </c>
      <c r="B19" s="13" t="n">
        <v>-218.35</v>
      </c>
    </row>
    <row r="20" customFormat="false" ht="15" hidden="false" customHeight="false" outlineLevel="0" collapsed="false">
      <c r="A20" s="7" t="s">
        <v>64</v>
      </c>
      <c r="B20" s="13" t="n">
        <v>290</v>
      </c>
    </row>
    <row r="22" customFormat="false" ht="15" hidden="false" customHeight="false" outlineLevel="0" collapsed="false">
      <c r="A22" s="14" t="s">
        <v>65</v>
      </c>
    </row>
    <row r="23" customFormat="false" ht="15" hidden="false" customHeight="false" outlineLevel="0" collapsed="false">
      <c r="A23" s="15" t="s">
        <v>66</v>
      </c>
    </row>
    <row r="24" customFormat="false" ht="15" hidden="false" customHeight="false" outlineLevel="0" collapsed="false">
      <c r="A24" s="15" t="s">
        <v>67</v>
      </c>
    </row>
    <row r="25" customFormat="false" ht="15" hidden="false" customHeight="false" outlineLevel="0" collapsed="false">
      <c r="A25" s="15" t="s">
        <v>68</v>
      </c>
    </row>
    <row r="26" customFormat="false" ht="15" hidden="false" customHeight="false" outlineLevel="0" collapsed="false">
      <c r="A26" s="15" t="s">
        <v>69</v>
      </c>
    </row>
    <row r="27" customFormat="false" ht="15" hidden="false" customHeight="false" outlineLevel="0" collapsed="false">
      <c r="A27" s="15" t="s">
        <v>70</v>
      </c>
    </row>
    <row r="28" customFormat="false" ht="15" hidden="false" customHeight="false" outlineLevel="0" collapsed="false">
      <c r="A28" s="15" t="s">
        <v>71</v>
      </c>
    </row>
    <row r="29" customFormat="false" ht="15" hidden="false" customHeight="false" outlineLevel="0" collapsed="false">
      <c r="A29" s="15" t="s">
        <v>72</v>
      </c>
    </row>
    <row r="30" customFormat="false" ht="15" hidden="false" customHeight="false" outlineLevel="0" collapsed="false">
      <c r="A30" s="15" t="s">
        <v>73</v>
      </c>
    </row>
    <row r="31" customFormat="false" ht="15" hidden="false" customHeight="false" outlineLevel="0" collapsed="false">
      <c r="A31" s="15" t="s">
        <v>74</v>
      </c>
    </row>
    <row r="32" customFormat="false" ht="15" hidden="false" customHeight="false" outlineLevel="0" collapsed="false">
      <c r="A32" s="15" t="s">
        <v>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5" min="4" style="0" width="12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</row>
    <row r="2" customFormat="false" ht="15" hidden="false" customHeight="false" outlineLevel="0" collapsed="false">
      <c r="A2" s="2" t="n">
        <v>45383</v>
      </c>
      <c r="B2" s="5" t="n">
        <v>2024</v>
      </c>
      <c r="C2" s="5" t="n">
        <v>4</v>
      </c>
      <c r="D2" s="7" t="s">
        <v>85</v>
      </c>
      <c r="E2" s="7" t="s">
        <v>86</v>
      </c>
      <c r="F2" s="5" t="n">
        <v>1</v>
      </c>
      <c r="G2" s="5" t="n">
        <v>1</v>
      </c>
      <c r="H2" s="7" t="s">
        <v>87</v>
      </c>
      <c r="I2" s="5" t="n">
        <v>14</v>
      </c>
      <c r="J2" s="5" t="s">
        <v>21</v>
      </c>
    </row>
    <row r="3" customFormat="false" ht="15" hidden="false" customHeight="false" outlineLevel="0" collapsed="false">
      <c r="A3" s="2" t="n">
        <v>45384</v>
      </c>
      <c r="B3" s="5" t="n">
        <v>2024</v>
      </c>
      <c r="C3" s="5" t="n">
        <v>4</v>
      </c>
      <c r="D3" s="7" t="s">
        <v>85</v>
      </c>
      <c r="E3" s="7" t="s">
        <v>86</v>
      </c>
      <c r="F3" s="5" t="n">
        <v>2</v>
      </c>
      <c r="G3" s="5" t="n">
        <v>2</v>
      </c>
      <c r="H3" s="7" t="s">
        <v>88</v>
      </c>
      <c r="I3" s="5" t="n">
        <v>14</v>
      </c>
      <c r="J3" s="5" t="s">
        <v>21</v>
      </c>
    </row>
    <row r="4" customFormat="false" ht="15" hidden="false" customHeight="false" outlineLevel="0" collapsed="false">
      <c r="A4" s="2" t="n">
        <v>45385</v>
      </c>
      <c r="B4" s="5" t="n">
        <v>2024</v>
      </c>
      <c r="C4" s="5" t="n">
        <v>4</v>
      </c>
      <c r="D4" s="7" t="s">
        <v>85</v>
      </c>
      <c r="E4" s="7" t="s">
        <v>86</v>
      </c>
      <c r="F4" s="5" t="n">
        <v>3</v>
      </c>
      <c r="G4" s="5" t="n">
        <v>3</v>
      </c>
      <c r="H4" s="7" t="s">
        <v>89</v>
      </c>
      <c r="I4" s="5" t="n">
        <v>14</v>
      </c>
      <c r="J4" s="5" t="s">
        <v>21</v>
      </c>
    </row>
    <row r="5" customFormat="false" ht="15" hidden="false" customHeight="false" outlineLevel="0" collapsed="false">
      <c r="A5" s="2" t="n">
        <v>45386</v>
      </c>
      <c r="B5" s="5" t="n">
        <v>2024</v>
      </c>
      <c r="C5" s="5" t="n">
        <v>4</v>
      </c>
      <c r="D5" s="7" t="s">
        <v>85</v>
      </c>
      <c r="E5" s="7" t="s">
        <v>86</v>
      </c>
      <c r="F5" s="5" t="n">
        <v>4</v>
      </c>
      <c r="G5" s="5" t="n">
        <v>4</v>
      </c>
      <c r="H5" s="7" t="s">
        <v>90</v>
      </c>
      <c r="I5" s="5" t="n">
        <v>14</v>
      </c>
      <c r="J5" s="5" t="s">
        <v>21</v>
      </c>
    </row>
    <row r="6" customFormat="false" ht="15" hidden="false" customHeight="false" outlineLevel="0" collapsed="false">
      <c r="A6" s="2" t="n">
        <v>45387</v>
      </c>
      <c r="B6" s="5" t="n">
        <v>2024</v>
      </c>
      <c r="C6" s="5" t="n">
        <v>4</v>
      </c>
      <c r="D6" s="7" t="s">
        <v>85</v>
      </c>
      <c r="E6" s="7" t="s">
        <v>86</v>
      </c>
      <c r="F6" s="5" t="n">
        <v>5</v>
      </c>
      <c r="G6" s="5" t="n">
        <v>5</v>
      </c>
      <c r="H6" s="7" t="s">
        <v>91</v>
      </c>
      <c r="I6" s="5" t="n">
        <v>14</v>
      </c>
      <c r="J6" s="5" t="s">
        <v>21</v>
      </c>
    </row>
    <row r="7" customFormat="false" ht="15" hidden="false" customHeight="false" outlineLevel="0" collapsed="false">
      <c r="A7" s="2" t="n">
        <v>45388</v>
      </c>
      <c r="B7" s="5" t="n">
        <v>2024</v>
      </c>
      <c r="C7" s="5" t="n">
        <v>4</v>
      </c>
      <c r="D7" s="7" t="s">
        <v>85</v>
      </c>
      <c r="E7" s="7" t="s">
        <v>86</v>
      </c>
      <c r="F7" s="5" t="n">
        <v>6</v>
      </c>
      <c r="G7" s="5" t="n">
        <v>6</v>
      </c>
      <c r="H7" s="7" t="s">
        <v>92</v>
      </c>
      <c r="I7" s="5" t="n">
        <v>14</v>
      </c>
      <c r="J7" s="5" t="s">
        <v>24</v>
      </c>
    </row>
    <row r="8" customFormat="false" ht="15" hidden="false" customHeight="false" outlineLevel="0" collapsed="false">
      <c r="A8" s="2" t="n">
        <v>45389</v>
      </c>
      <c r="B8" s="5" t="n">
        <v>2024</v>
      </c>
      <c r="C8" s="5" t="n">
        <v>4</v>
      </c>
      <c r="D8" s="7" t="s">
        <v>85</v>
      </c>
      <c r="E8" s="7" t="s">
        <v>86</v>
      </c>
      <c r="F8" s="5" t="n">
        <v>7</v>
      </c>
      <c r="G8" s="5" t="n">
        <v>7</v>
      </c>
      <c r="H8" s="7" t="s">
        <v>93</v>
      </c>
      <c r="I8" s="5" t="n">
        <v>14</v>
      </c>
      <c r="J8" s="5" t="s">
        <v>24</v>
      </c>
    </row>
    <row r="9" customFormat="false" ht="15" hidden="false" customHeight="false" outlineLevel="0" collapsed="false">
      <c r="A9" s="2" t="n">
        <v>45390</v>
      </c>
      <c r="B9" s="5" t="n">
        <v>2024</v>
      </c>
      <c r="C9" s="5" t="n">
        <v>4</v>
      </c>
      <c r="D9" s="7" t="s">
        <v>85</v>
      </c>
      <c r="E9" s="7" t="s">
        <v>86</v>
      </c>
      <c r="F9" s="5" t="n">
        <v>8</v>
      </c>
      <c r="G9" s="5" t="n">
        <v>1</v>
      </c>
      <c r="H9" s="7" t="s">
        <v>87</v>
      </c>
      <c r="I9" s="5" t="n">
        <v>15</v>
      </c>
      <c r="J9" s="5" t="s">
        <v>21</v>
      </c>
    </row>
    <row r="10" customFormat="false" ht="15" hidden="false" customHeight="false" outlineLevel="0" collapsed="false">
      <c r="A10" s="2" t="n">
        <v>45391</v>
      </c>
      <c r="B10" s="5" t="n">
        <v>2024</v>
      </c>
      <c r="C10" s="5" t="n">
        <v>4</v>
      </c>
      <c r="D10" s="7" t="s">
        <v>85</v>
      </c>
      <c r="E10" s="7" t="s">
        <v>86</v>
      </c>
      <c r="F10" s="5" t="n">
        <v>9</v>
      </c>
      <c r="G10" s="5" t="n">
        <v>2</v>
      </c>
      <c r="H10" s="7" t="s">
        <v>88</v>
      </c>
      <c r="I10" s="5" t="n">
        <v>15</v>
      </c>
      <c r="J10" s="5" t="s">
        <v>21</v>
      </c>
    </row>
    <row r="11" customFormat="false" ht="15" hidden="false" customHeight="false" outlineLevel="0" collapsed="false">
      <c r="A11" s="2" t="n">
        <v>45392</v>
      </c>
      <c r="B11" s="5" t="n">
        <v>2024</v>
      </c>
      <c r="C11" s="5" t="n">
        <v>4</v>
      </c>
      <c r="D11" s="7" t="s">
        <v>85</v>
      </c>
      <c r="E11" s="7" t="s">
        <v>86</v>
      </c>
      <c r="F11" s="5" t="n">
        <v>10</v>
      </c>
      <c r="G11" s="5" t="n">
        <v>3</v>
      </c>
      <c r="H11" s="7" t="s">
        <v>89</v>
      </c>
      <c r="I11" s="5" t="n">
        <v>15</v>
      </c>
      <c r="J11" s="5" t="s">
        <v>21</v>
      </c>
    </row>
    <row r="12" customFormat="false" ht="15" hidden="false" customHeight="false" outlineLevel="0" collapsed="false">
      <c r="A12" s="2" t="n">
        <v>45393</v>
      </c>
      <c r="B12" s="5" t="n">
        <v>2024</v>
      </c>
      <c r="C12" s="5" t="n">
        <v>4</v>
      </c>
      <c r="D12" s="7" t="s">
        <v>85</v>
      </c>
      <c r="E12" s="7" t="s">
        <v>86</v>
      </c>
      <c r="F12" s="5" t="n">
        <v>11</v>
      </c>
      <c r="G12" s="5" t="n">
        <v>4</v>
      </c>
      <c r="H12" s="7" t="s">
        <v>90</v>
      </c>
      <c r="I12" s="5" t="n">
        <v>15</v>
      </c>
      <c r="J12" s="5" t="s">
        <v>21</v>
      </c>
    </row>
    <row r="13" customFormat="false" ht="15" hidden="false" customHeight="false" outlineLevel="0" collapsed="false">
      <c r="A13" s="2" t="n">
        <v>45394</v>
      </c>
      <c r="B13" s="5" t="n">
        <v>2024</v>
      </c>
      <c r="C13" s="5" t="n">
        <v>4</v>
      </c>
      <c r="D13" s="7" t="s">
        <v>85</v>
      </c>
      <c r="E13" s="7" t="s">
        <v>86</v>
      </c>
      <c r="F13" s="5" t="n">
        <v>12</v>
      </c>
      <c r="G13" s="5" t="n">
        <v>5</v>
      </c>
      <c r="H13" s="7" t="s">
        <v>91</v>
      </c>
      <c r="I13" s="5" t="n">
        <v>15</v>
      </c>
      <c r="J13" s="5" t="s">
        <v>21</v>
      </c>
    </row>
    <row r="14" customFormat="false" ht="15" hidden="false" customHeight="false" outlineLevel="0" collapsed="false">
      <c r="A14" s="2" t="n">
        <v>45395</v>
      </c>
      <c r="B14" s="5" t="n">
        <v>2024</v>
      </c>
      <c r="C14" s="5" t="n">
        <v>4</v>
      </c>
      <c r="D14" s="7" t="s">
        <v>85</v>
      </c>
      <c r="E14" s="7" t="s">
        <v>86</v>
      </c>
      <c r="F14" s="5" t="n">
        <v>13</v>
      </c>
      <c r="G14" s="5" t="n">
        <v>6</v>
      </c>
      <c r="H14" s="7" t="s">
        <v>92</v>
      </c>
      <c r="I14" s="5" t="n">
        <v>15</v>
      </c>
      <c r="J14" s="5" t="s">
        <v>24</v>
      </c>
    </row>
    <row r="15" customFormat="false" ht="15" hidden="false" customHeight="false" outlineLevel="0" collapsed="false">
      <c r="A15" s="2" t="n">
        <v>45396</v>
      </c>
      <c r="B15" s="5" t="n">
        <v>2024</v>
      </c>
      <c r="C15" s="5" t="n">
        <v>4</v>
      </c>
      <c r="D15" s="7" t="s">
        <v>85</v>
      </c>
      <c r="E15" s="7" t="s">
        <v>86</v>
      </c>
      <c r="F15" s="5" t="n">
        <v>14</v>
      </c>
      <c r="G15" s="5" t="n">
        <v>7</v>
      </c>
      <c r="H15" s="7" t="s">
        <v>93</v>
      </c>
      <c r="I15" s="5" t="n">
        <v>15</v>
      </c>
      <c r="J15" s="5" t="s">
        <v>24</v>
      </c>
    </row>
    <row r="16" customFormat="false" ht="15" hidden="false" customHeight="false" outlineLevel="0" collapsed="false">
      <c r="A16" s="2" t="n">
        <v>45397</v>
      </c>
      <c r="B16" s="5" t="n">
        <v>2024</v>
      </c>
      <c r="C16" s="5" t="n">
        <v>4</v>
      </c>
      <c r="D16" s="7" t="s">
        <v>85</v>
      </c>
      <c r="E16" s="7" t="s">
        <v>86</v>
      </c>
      <c r="F16" s="5" t="n">
        <v>15</v>
      </c>
      <c r="G16" s="5" t="n">
        <v>1</v>
      </c>
      <c r="H16" s="7" t="s">
        <v>87</v>
      </c>
      <c r="I16" s="5" t="n">
        <v>16</v>
      </c>
      <c r="J16" s="5" t="s">
        <v>21</v>
      </c>
    </row>
    <row r="17" customFormat="false" ht="15" hidden="false" customHeight="false" outlineLevel="0" collapsed="false">
      <c r="A17" s="2" t="n">
        <v>45398</v>
      </c>
      <c r="B17" s="5" t="n">
        <v>2024</v>
      </c>
      <c r="C17" s="5" t="n">
        <v>4</v>
      </c>
      <c r="D17" s="7" t="s">
        <v>85</v>
      </c>
      <c r="E17" s="7" t="s">
        <v>86</v>
      </c>
      <c r="F17" s="5" t="n">
        <v>16</v>
      </c>
      <c r="G17" s="5" t="n">
        <v>2</v>
      </c>
      <c r="H17" s="7" t="s">
        <v>88</v>
      </c>
      <c r="I17" s="5" t="n">
        <v>16</v>
      </c>
      <c r="J17" s="5" t="s">
        <v>21</v>
      </c>
    </row>
    <row r="18" customFormat="false" ht="15" hidden="false" customHeight="false" outlineLevel="0" collapsed="false">
      <c r="A18" s="2" t="n">
        <v>45399</v>
      </c>
      <c r="B18" s="5" t="n">
        <v>2024</v>
      </c>
      <c r="C18" s="5" t="n">
        <v>4</v>
      </c>
      <c r="D18" s="7" t="s">
        <v>85</v>
      </c>
      <c r="E18" s="7" t="s">
        <v>86</v>
      </c>
      <c r="F18" s="5" t="n">
        <v>17</v>
      </c>
      <c r="G18" s="5" t="n">
        <v>3</v>
      </c>
      <c r="H18" s="7" t="s">
        <v>89</v>
      </c>
      <c r="I18" s="5" t="n">
        <v>16</v>
      </c>
      <c r="J18" s="5" t="s">
        <v>21</v>
      </c>
    </row>
    <row r="19" customFormat="false" ht="15" hidden="false" customHeight="false" outlineLevel="0" collapsed="false">
      <c r="A19" s="2" t="n">
        <v>45400</v>
      </c>
      <c r="B19" s="5" t="n">
        <v>2024</v>
      </c>
      <c r="C19" s="5" t="n">
        <v>4</v>
      </c>
      <c r="D19" s="7" t="s">
        <v>85</v>
      </c>
      <c r="E19" s="7" t="s">
        <v>86</v>
      </c>
      <c r="F19" s="5" t="n">
        <v>18</v>
      </c>
      <c r="G19" s="5" t="n">
        <v>4</v>
      </c>
      <c r="H19" s="7" t="s">
        <v>90</v>
      </c>
      <c r="I19" s="5" t="n">
        <v>16</v>
      </c>
      <c r="J19" s="5" t="s">
        <v>21</v>
      </c>
    </row>
    <row r="20" customFormat="false" ht="15" hidden="false" customHeight="false" outlineLevel="0" collapsed="false">
      <c r="A20" s="2" t="n">
        <v>45401</v>
      </c>
      <c r="B20" s="5" t="n">
        <v>2024</v>
      </c>
      <c r="C20" s="5" t="n">
        <v>4</v>
      </c>
      <c r="D20" s="7" t="s">
        <v>85</v>
      </c>
      <c r="E20" s="7" t="s">
        <v>86</v>
      </c>
      <c r="F20" s="5" t="n">
        <v>19</v>
      </c>
      <c r="G20" s="5" t="n">
        <v>5</v>
      </c>
      <c r="H20" s="7" t="s">
        <v>91</v>
      </c>
      <c r="I20" s="5" t="n">
        <v>16</v>
      </c>
      <c r="J20" s="5" t="s">
        <v>21</v>
      </c>
    </row>
    <row r="21" customFormat="false" ht="15" hidden="false" customHeight="false" outlineLevel="0" collapsed="false">
      <c r="A21" s="2" t="n">
        <v>45402</v>
      </c>
      <c r="B21" s="5" t="n">
        <v>2024</v>
      </c>
      <c r="C21" s="5" t="n">
        <v>4</v>
      </c>
      <c r="D21" s="7" t="s">
        <v>85</v>
      </c>
      <c r="E21" s="7" t="s">
        <v>86</v>
      </c>
      <c r="F21" s="5" t="n">
        <v>20</v>
      </c>
      <c r="G21" s="5" t="n">
        <v>6</v>
      </c>
      <c r="H21" s="7" t="s">
        <v>92</v>
      </c>
      <c r="I21" s="5" t="n">
        <v>16</v>
      </c>
      <c r="J21" s="5" t="s">
        <v>24</v>
      </c>
    </row>
    <row r="22" customFormat="false" ht="15" hidden="false" customHeight="false" outlineLevel="0" collapsed="false">
      <c r="A22" s="2" t="n">
        <v>45403</v>
      </c>
      <c r="B22" s="5" t="n">
        <v>2024</v>
      </c>
      <c r="C22" s="5" t="n">
        <v>4</v>
      </c>
      <c r="D22" s="7" t="s">
        <v>85</v>
      </c>
      <c r="E22" s="7" t="s">
        <v>86</v>
      </c>
      <c r="F22" s="5" t="n">
        <v>21</v>
      </c>
      <c r="G22" s="5" t="n">
        <v>7</v>
      </c>
      <c r="H22" s="7" t="s">
        <v>93</v>
      </c>
      <c r="I22" s="5" t="n">
        <v>16</v>
      </c>
      <c r="J22" s="5" t="s">
        <v>24</v>
      </c>
    </row>
    <row r="23" customFormat="false" ht="15" hidden="false" customHeight="false" outlineLevel="0" collapsed="false">
      <c r="A23" s="2" t="n">
        <v>45404</v>
      </c>
      <c r="B23" s="5" t="n">
        <v>2024</v>
      </c>
      <c r="C23" s="5" t="n">
        <v>4</v>
      </c>
      <c r="D23" s="7" t="s">
        <v>85</v>
      </c>
      <c r="E23" s="7" t="s">
        <v>86</v>
      </c>
      <c r="F23" s="5" t="n">
        <v>22</v>
      </c>
      <c r="G23" s="5" t="n">
        <v>1</v>
      </c>
      <c r="H23" s="7" t="s">
        <v>87</v>
      </c>
      <c r="I23" s="5" t="n">
        <v>17</v>
      </c>
      <c r="J23" s="5" t="s">
        <v>21</v>
      </c>
    </row>
    <row r="24" customFormat="false" ht="15" hidden="false" customHeight="false" outlineLevel="0" collapsed="false">
      <c r="A24" s="2" t="n">
        <v>45405</v>
      </c>
      <c r="B24" s="5" t="n">
        <v>2024</v>
      </c>
      <c r="C24" s="5" t="n">
        <v>4</v>
      </c>
      <c r="D24" s="7" t="s">
        <v>85</v>
      </c>
      <c r="E24" s="7" t="s">
        <v>86</v>
      </c>
      <c r="F24" s="5" t="n">
        <v>23</v>
      </c>
      <c r="G24" s="5" t="n">
        <v>2</v>
      </c>
      <c r="H24" s="7" t="s">
        <v>88</v>
      </c>
      <c r="I24" s="5" t="n">
        <v>17</v>
      </c>
      <c r="J24" s="5" t="s">
        <v>21</v>
      </c>
    </row>
    <row r="25" customFormat="false" ht="15" hidden="false" customHeight="false" outlineLevel="0" collapsed="false">
      <c r="A25" s="2" t="n">
        <v>45406</v>
      </c>
      <c r="B25" s="5" t="n">
        <v>2024</v>
      </c>
      <c r="C25" s="5" t="n">
        <v>4</v>
      </c>
      <c r="D25" s="7" t="s">
        <v>85</v>
      </c>
      <c r="E25" s="7" t="s">
        <v>86</v>
      </c>
      <c r="F25" s="5" t="n">
        <v>24</v>
      </c>
      <c r="G25" s="5" t="n">
        <v>3</v>
      </c>
      <c r="H25" s="7" t="s">
        <v>89</v>
      </c>
      <c r="I25" s="5" t="n">
        <v>17</v>
      </c>
      <c r="J25" s="5" t="s">
        <v>21</v>
      </c>
    </row>
    <row r="26" customFormat="false" ht="15" hidden="false" customHeight="false" outlineLevel="0" collapsed="false">
      <c r="A26" s="2" t="n">
        <v>45407</v>
      </c>
      <c r="B26" s="5" t="n">
        <v>2024</v>
      </c>
      <c r="C26" s="5" t="n">
        <v>4</v>
      </c>
      <c r="D26" s="7" t="s">
        <v>85</v>
      </c>
      <c r="E26" s="7" t="s">
        <v>86</v>
      </c>
      <c r="F26" s="5" t="n">
        <v>25</v>
      </c>
      <c r="G26" s="5" t="n">
        <v>4</v>
      </c>
      <c r="H26" s="7" t="s">
        <v>90</v>
      </c>
      <c r="I26" s="5" t="n">
        <v>17</v>
      </c>
      <c r="J26" s="5" t="s">
        <v>21</v>
      </c>
    </row>
    <row r="27" customFormat="false" ht="15" hidden="false" customHeight="false" outlineLevel="0" collapsed="false">
      <c r="A27" s="2" t="n">
        <v>45408</v>
      </c>
      <c r="B27" s="5" t="n">
        <v>2024</v>
      </c>
      <c r="C27" s="5" t="n">
        <v>4</v>
      </c>
      <c r="D27" s="7" t="s">
        <v>85</v>
      </c>
      <c r="E27" s="7" t="s">
        <v>86</v>
      </c>
      <c r="F27" s="5" t="n">
        <v>26</v>
      </c>
      <c r="G27" s="5" t="n">
        <v>5</v>
      </c>
      <c r="H27" s="7" t="s">
        <v>91</v>
      </c>
      <c r="I27" s="5" t="n">
        <v>17</v>
      </c>
      <c r="J27" s="5" t="s">
        <v>21</v>
      </c>
    </row>
    <row r="28" customFormat="false" ht="15" hidden="false" customHeight="false" outlineLevel="0" collapsed="false">
      <c r="A28" s="2" t="n">
        <v>45409</v>
      </c>
      <c r="B28" s="5" t="n">
        <v>2024</v>
      </c>
      <c r="C28" s="5" t="n">
        <v>4</v>
      </c>
      <c r="D28" s="7" t="s">
        <v>85</v>
      </c>
      <c r="E28" s="7" t="s">
        <v>86</v>
      </c>
      <c r="F28" s="5" t="n">
        <v>27</v>
      </c>
      <c r="G28" s="5" t="n">
        <v>6</v>
      </c>
      <c r="H28" s="7" t="s">
        <v>92</v>
      </c>
      <c r="I28" s="5" t="n">
        <v>17</v>
      </c>
      <c r="J28" s="5" t="s">
        <v>24</v>
      </c>
    </row>
    <row r="29" customFormat="false" ht="15" hidden="false" customHeight="false" outlineLevel="0" collapsed="false">
      <c r="A29" s="2" t="n">
        <v>45410</v>
      </c>
      <c r="B29" s="5" t="n">
        <v>2024</v>
      </c>
      <c r="C29" s="5" t="n">
        <v>4</v>
      </c>
      <c r="D29" s="7" t="s">
        <v>85</v>
      </c>
      <c r="E29" s="7" t="s">
        <v>86</v>
      </c>
      <c r="F29" s="5" t="n">
        <v>28</v>
      </c>
      <c r="G29" s="5" t="n">
        <v>7</v>
      </c>
      <c r="H29" s="7" t="s">
        <v>93</v>
      </c>
      <c r="I29" s="5" t="n">
        <v>17</v>
      </c>
      <c r="J29" s="5" t="s">
        <v>24</v>
      </c>
    </row>
    <row r="30" customFormat="false" ht="15" hidden="false" customHeight="false" outlineLevel="0" collapsed="false">
      <c r="A30" s="2" t="n">
        <v>45411</v>
      </c>
      <c r="B30" s="5" t="n">
        <v>2024</v>
      </c>
      <c r="C30" s="5" t="n">
        <v>4</v>
      </c>
      <c r="D30" s="7" t="s">
        <v>85</v>
      </c>
      <c r="E30" s="7" t="s">
        <v>86</v>
      </c>
      <c r="F30" s="5" t="n">
        <v>29</v>
      </c>
      <c r="G30" s="5" t="n">
        <v>1</v>
      </c>
      <c r="H30" s="7" t="s">
        <v>87</v>
      </c>
      <c r="I30" s="5" t="n">
        <v>18</v>
      </c>
      <c r="J30" s="5" t="s">
        <v>21</v>
      </c>
    </row>
    <row r="31" customFormat="false" ht="15" hidden="false" customHeight="false" outlineLevel="0" collapsed="false">
      <c r="A31" s="2" t="n">
        <v>45412</v>
      </c>
      <c r="B31" s="5" t="n">
        <v>2024</v>
      </c>
      <c r="C31" s="5" t="n">
        <v>4</v>
      </c>
      <c r="D31" s="7" t="s">
        <v>85</v>
      </c>
      <c r="E31" s="7" t="s">
        <v>86</v>
      </c>
      <c r="F31" s="5" t="n">
        <v>30</v>
      </c>
      <c r="G31" s="5" t="n">
        <v>2</v>
      </c>
      <c r="H31" s="7" t="s">
        <v>88</v>
      </c>
      <c r="I31" s="5" t="n">
        <v>18</v>
      </c>
      <c r="J31" s="5" t="s">
        <v>21</v>
      </c>
    </row>
    <row r="32" customFormat="false" ht="15" hidden="false" customHeight="false" outlineLevel="0" collapsed="false">
      <c r="A32" s="2" t="n">
        <v>45413</v>
      </c>
      <c r="B32" s="5" t="n">
        <v>2024</v>
      </c>
      <c r="C32" s="5" t="n">
        <v>5</v>
      </c>
      <c r="D32" s="7" t="s">
        <v>94</v>
      </c>
      <c r="E32" s="7" t="s">
        <v>95</v>
      </c>
      <c r="F32" s="5" t="n">
        <v>1</v>
      </c>
      <c r="G32" s="5" t="n">
        <v>3</v>
      </c>
      <c r="H32" s="7" t="s">
        <v>89</v>
      </c>
      <c r="I32" s="5" t="n">
        <v>18</v>
      </c>
      <c r="J32" s="5" t="s">
        <v>21</v>
      </c>
    </row>
    <row r="33" customFormat="false" ht="15" hidden="false" customHeight="false" outlineLevel="0" collapsed="false">
      <c r="A33" s="2" t="n">
        <v>45414</v>
      </c>
      <c r="B33" s="5" t="n">
        <v>2024</v>
      </c>
      <c r="C33" s="5" t="n">
        <v>5</v>
      </c>
      <c r="D33" s="7" t="s">
        <v>94</v>
      </c>
      <c r="E33" s="7" t="s">
        <v>95</v>
      </c>
      <c r="F33" s="5" t="n">
        <v>2</v>
      </c>
      <c r="G33" s="5" t="n">
        <v>4</v>
      </c>
      <c r="H33" s="7" t="s">
        <v>90</v>
      </c>
      <c r="I33" s="5" t="n">
        <v>18</v>
      </c>
      <c r="J33" s="5" t="s">
        <v>21</v>
      </c>
    </row>
    <row r="34" customFormat="false" ht="15" hidden="false" customHeight="false" outlineLevel="0" collapsed="false">
      <c r="A34" s="2" t="n">
        <v>45415</v>
      </c>
      <c r="B34" s="5" t="n">
        <v>2024</v>
      </c>
      <c r="C34" s="5" t="n">
        <v>5</v>
      </c>
      <c r="D34" s="7" t="s">
        <v>94</v>
      </c>
      <c r="E34" s="7" t="s">
        <v>95</v>
      </c>
      <c r="F34" s="5" t="n">
        <v>3</v>
      </c>
      <c r="G34" s="5" t="n">
        <v>5</v>
      </c>
      <c r="H34" s="7" t="s">
        <v>91</v>
      </c>
      <c r="I34" s="5" t="n">
        <v>18</v>
      </c>
      <c r="J34" s="5" t="s">
        <v>21</v>
      </c>
    </row>
    <row r="35" customFormat="false" ht="15" hidden="false" customHeight="false" outlineLevel="0" collapsed="false">
      <c r="A35" s="2" t="n">
        <v>45416</v>
      </c>
      <c r="B35" s="5" t="n">
        <v>2024</v>
      </c>
      <c r="C35" s="5" t="n">
        <v>5</v>
      </c>
      <c r="D35" s="7" t="s">
        <v>94</v>
      </c>
      <c r="E35" s="7" t="s">
        <v>95</v>
      </c>
      <c r="F35" s="5" t="n">
        <v>4</v>
      </c>
      <c r="G35" s="5" t="n">
        <v>6</v>
      </c>
      <c r="H35" s="7" t="s">
        <v>92</v>
      </c>
      <c r="I35" s="5" t="n">
        <v>18</v>
      </c>
      <c r="J35" s="5" t="s">
        <v>24</v>
      </c>
    </row>
    <row r="36" customFormat="false" ht="15" hidden="false" customHeight="false" outlineLevel="0" collapsed="false">
      <c r="A36" s="2" t="n">
        <v>45417</v>
      </c>
      <c r="B36" s="5" t="n">
        <v>2024</v>
      </c>
      <c r="C36" s="5" t="n">
        <v>5</v>
      </c>
      <c r="D36" s="7" t="s">
        <v>94</v>
      </c>
      <c r="E36" s="7" t="s">
        <v>95</v>
      </c>
      <c r="F36" s="5" t="n">
        <v>5</v>
      </c>
      <c r="G36" s="5" t="n">
        <v>7</v>
      </c>
      <c r="H36" s="7" t="s">
        <v>93</v>
      </c>
      <c r="I36" s="5" t="n">
        <v>18</v>
      </c>
      <c r="J36" s="5" t="s">
        <v>24</v>
      </c>
    </row>
    <row r="37" customFormat="false" ht="15" hidden="false" customHeight="false" outlineLevel="0" collapsed="false">
      <c r="A37" s="2" t="n">
        <v>45418</v>
      </c>
      <c r="B37" s="5" t="n">
        <v>2024</v>
      </c>
      <c r="C37" s="5" t="n">
        <v>5</v>
      </c>
      <c r="D37" s="7" t="s">
        <v>94</v>
      </c>
      <c r="E37" s="7" t="s">
        <v>95</v>
      </c>
      <c r="F37" s="5" t="n">
        <v>6</v>
      </c>
      <c r="G37" s="5" t="n">
        <v>1</v>
      </c>
      <c r="H37" s="7" t="s">
        <v>87</v>
      </c>
      <c r="I37" s="5" t="n">
        <v>19</v>
      </c>
      <c r="J37" s="5" t="s">
        <v>21</v>
      </c>
    </row>
    <row r="38" customFormat="false" ht="15" hidden="false" customHeight="false" outlineLevel="0" collapsed="false">
      <c r="A38" s="2" t="n">
        <v>45419</v>
      </c>
      <c r="B38" s="5" t="n">
        <v>2024</v>
      </c>
      <c r="C38" s="5" t="n">
        <v>5</v>
      </c>
      <c r="D38" s="7" t="s">
        <v>94</v>
      </c>
      <c r="E38" s="7" t="s">
        <v>95</v>
      </c>
      <c r="F38" s="5" t="n">
        <v>7</v>
      </c>
      <c r="G38" s="5" t="n">
        <v>2</v>
      </c>
      <c r="H38" s="7" t="s">
        <v>88</v>
      </c>
      <c r="I38" s="5" t="n">
        <v>19</v>
      </c>
      <c r="J38" s="5" t="s">
        <v>21</v>
      </c>
    </row>
    <row r="39" customFormat="false" ht="15" hidden="false" customHeight="false" outlineLevel="0" collapsed="false">
      <c r="A39" s="2" t="n">
        <v>45420</v>
      </c>
      <c r="B39" s="5" t="n">
        <v>2024</v>
      </c>
      <c r="C39" s="5" t="n">
        <v>5</v>
      </c>
      <c r="D39" s="7" t="s">
        <v>94</v>
      </c>
      <c r="E39" s="7" t="s">
        <v>95</v>
      </c>
      <c r="F39" s="5" t="n">
        <v>8</v>
      </c>
      <c r="G39" s="5" t="n">
        <v>3</v>
      </c>
      <c r="H39" s="7" t="s">
        <v>89</v>
      </c>
      <c r="I39" s="5" t="n">
        <v>19</v>
      </c>
      <c r="J39" s="5" t="s">
        <v>21</v>
      </c>
    </row>
    <row r="40" customFormat="false" ht="15" hidden="false" customHeight="false" outlineLevel="0" collapsed="false">
      <c r="A40" s="2" t="n">
        <v>45421</v>
      </c>
      <c r="B40" s="5" t="n">
        <v>2024</v>
      </c>
      <c r="C40" s="5" t="n">
        <v>5</v>
      </c>
      <c r="D40" s="7" t="s">
        <v>94</v>
      </c>
      <c r="E40" s="7" t="s">
        <v>95</v>
      </c>
      <c r="F40" s="5" t="n">
        <v>9</v>
      </c>
      <c r="G40" s="5" t="n">
        <v>4</v>
      </c>
      <c r="H40" s="7" t="s">
        <v>90</v>
      </c>
      <c r="I40" s="5" t="n">
        <v>19</v>
      </c>
      <c r="J40" s="5" t="s">
        <v>21</v>
      </c>
    </row>
    <row r="41" customFormat="false" ht="15" hidden="false" customHeight="false" outlineLevel="0" collapsed="false">
      <c r="A41" s="2" t="n">
        <v>45422</v>
      </c>
      <c r="B41" s="5" t="n">
        <v>2024</v>
      </c>
      <c r="C41" s="5" t="n">
        <v>5</v>
      </c>
      <c r="D41" s="7" t="s">
        <v>94</v>
      </c>
      <c r="E41" s="7" t="s">
        <v>95</v>
      </c>
      <c r="F41" s="5" t="n">
        <v>10</v>
      </c>
      <c r="G41" s="5" t="n">
        <v>5</v>
      </c>
      <c r="H41" s="7" t="s">
        <v>91</v>
      </c>
      <c r="I41" s="5" t="n">
        <v>19</v>
      </c>
      <c r="J41" s="5" t="s">
        <v>21</v>
      </c>
    </row>
    <row r="42" customFormat="false" ht="15" hidden="false" customHeight="false" outlineLevel="0" collapsed="false">
      <c r="A42" s="2" t="n">
        <v>45423</v>
      </c>
      <c r="B42" s="5" t="n">
        <v>2024</v>
      </c>
      <c r="C42" s="5" t="n">
        <v>5</v>
      </c>
      <c r="D42" s="7" t="s">
        <v>94</v>
      </c>
      <c r="E42" s="7" t="s">
        <v>95</v>
      </c>
      <c r="F42" s="5" t="n">
        <v>11</v>
      </c>
      <c r="G42" s="5" t="n">
        <v>6</v>
      </c>
      <c r="H42" s="7" t="s">
        <v>92</v>
      </c>
      <c r="I42" s="5" t="n">
        <v>19</v>
      </c>
      <c r="J42" s="5" t="s">
        <v>24</v>
      </c>
    </row>
    <row r="43" customFormat="false" ht="15" hidden="false" customHeight="false" outlineLevel="0" collapsed="false">
      <c r="A43" s="2" t="n">
        <v>45424</v>
      </c>
      <c r="B43" s="5" t="n">
        <v>2024</v>
      </c>
      <c r="C43" s="5" t="n">
        <v>5</v>
      </c>
      <c r="D43" s="7" t="s">
        <v>94</v>
      </c>
      <c r="E43" s="7" t="s">
        <v>95</v>
      </c>
      <c r="F43" s="5" t="n">
        <v>12</v>
      </c>
      <c r="G43" s="5" t="n">
        <v>7</v>
      </c>
      <c r="H43" s="7" t="s">
        <v>93</v>
      </c>
      <c r="I43" s="5" t="n">
        <v>19</v>
      </c>
      <c r="J43" s="5" t="s">
        <v>24</v>
      </c>
    </row>
    <row r="44" customFormat="false" ht="15" hidden="false" customHeight="false" outlineLevel="0" collapsed="false">
      <c r="A44" s="2" t="n">
        <v>45425</v>
      </c>
      <c r="B44" s="5" t="n">
        <v>2024</v>
      </c>
      <c r="C44" s="5" t="n">
        <v>5</v>
      </c>
      <c r="D44" s="7" t="s">
        <v>94</v>
      </c>
      <c r="E44" s="7" t="s">
        <v>95</v>
      </c>
      <c r="F44" s="5" t="n">
        <v>13</v>
      </c>
      <c r="G44" s="5" t="n">
        <v>1</v>
      </c>
      <c r="H44" s="7" t="s">
        <v>87</v>
      </c>
      <c r="I44" s="5" t="n">
        <v>20</v>
      </c>
      <c r="J44" s="5" t="s">
        <v>21</v>
      </c>
    </row>
    <row r="45" customFormat="false" ht="15" hidden="false" customHeight="false" outlineLevel="0" collapsed="false">
      <c r="A45" s="2" t="n">
        <v>45426</v>
      </c>
      <c r="B45" s="5" t="n">
        <v>2024</v>
      </c>
      <c r="C45" s="5" t="n">
        <v>5</v>
      </c>
      <c r="D45" s="7" t="s">
        <v>94</v>
      </c>
      <c r="E45" s="7" t="s">
        <v>95</v>
      </c>
      <c r="F45" s="5" t="n">
        <v>14</v>
      </c>
      <c r="G45" s="5" t="n">
        <v>2</v>
      </c>
      <c r="H45" s="7" t="s">
        <v>88</v>
      </c>
      <c r="I45" s="5" t="n">
        <v>20</v>
      </c>
      <c r="J45" s="5" t="s">
        <v>21</v>
      </c>
    </row>
    <row r="46" customFormat="false" ht="15" hidden="false" customHeight="false" outlineLevel="0" collapsed="false">
      <c r="A46" s="2" t="n">
        <v>45427</v>
      </c>
      <c r="B46" s="5" t="n">
        <v>2024</v>
      </c>
      <c r="C46" s="5" t="n">
        <v>5</v>
      </c>
      <c r="D46" s="7" t="s">
        <v>94</v>
      </c>
      <c r="E46" s="7" t="s">
        <v>95</v>
      </c>
      <c r="F46" s="5" t="n">
        <v>15</v>
      </c>
      <c r="G46" s="5" t="n">
        <v>3</v>
      </c>
      <c r="H46" s="7" t="s">
        <v>89</v>
      </c>
      <c r="I46" s="5" t="n">
        <v>20</v>
      </c>
      <c r="J46" s="5" t="s">
        <v>21</v>
      </c>
    </row>
    <row r="47" customFormat="false" ht="15" hidden="false" customHeight="false" outlineLevel="0" collapsed="false">
      <c r="A47" s="2" t="n">
        <v>45428</v>
      </c>
      <c r="B47" s="5" t="n">
        <v>2024</v>
      </c>
      <c r="C47" s="5" t="n">
        <v>5</v>
      </c>
      <c r="D47" s="7" t="s">
        <v>94</v>
      </c>
      <c r="E47" s="7" t="s">
        <v>95</v>
      </c>
      <c r="F47" s="5" t="n">
        <v>16</v>
      </c>
      <c r="G47" s="5" t="n">
        <v>4</v>
      </c>
      <c r="H47" s="7" t="s">
        <v>90</v>
      </c>
      <c r="I47" s="5" t="n">
        <v>20</v>
      </c>
      <c r="J47" s="5" t="s">
        <v>21</v>
      </c>
    </row>
    <row r="48" customFormat="false" ht="15" hidden="false" customHeight="false" outlineLevel="0" collapsed="false">
      <c r="A48" s="2" t="n">
        <v>45429</v>
      </c>
      <c r="B48" s="5" t="n">
        <v>2024</v>
      </c>
      <c r="C48" s="5" t="n">
        <v>5</v>
      </c>
      <c r="D48" s="7" t="s">
        <v>94</v>
      </c>
      <c r="E48" s="7" t="s">
        <v>95</v>
      </c>
      <c r="F48" s="5" t="n">
        <v>17</v>
      </c>
      <c r="G48" s="5" t="n">
        <v>5</v>
      </c>
      <c r="H48" s="7" t="s">
        <v>91</v>
      </c>
      <c r="I48" s="5" t="n">
        <v>20</v>
      </c>
      <c r="J48" s="5" t="s">
        <v>21</v>
      </c>
    </row>
    <row r="49" customFormat="false" ht="15" hidden="false" customHeight="false" outlineLevel="0" collapsed="false">
      <c r="A49" s="2" t="n">
        <v>45430</v>
      </c>
      <c r="B49" s="5" t="n">
        <v>2024</v>
      </c>
      <c r="C49" s="5" t="n">
        <v>5</v>
      </c>
      <c r="D49" s="7" t="s">
        <v>94</v>
      </c>
      <c r="E49" s="7" t="s">
        <v>95</v>
      </c>
      <c r="F49" s="5" t="n">
        <v>18</v>
      </c>
      <c r="G49" s="5" t="n">
        <v>6</v>
      </c>
      <c r="H49" s="7" t="s">
        <v>92</v>
      </c>
      <c r="I49" s="5" t="n">
        <v>20</v>
      </c>
      <c r="J49" s="5" t="s">
        <v>24</v>
      </c>
    </row>
    <row r="50" customFormat="false" ht="15" hidden="false" customHeight="false" outlineLevel="0" collapsed="false">
      <c r="A50" s="2" t="n">
        <v>45431</v>
      </c>
      <c r="B50" s="5" t="n">
        <v>2024</v>
      </c>
      <c r="C50" s="5" t="n">
        <v>5</v>
      </c>
      <c r="D50" s="7" t="s">
        <v>94</v>
      </c>
      <c r="E50" s="7" t="s">
        <v>95</v>
      </c>
      <c r="F50" s="5" t="n">
        <v>19</v>
      </c>
      <c r="G50" s="5" t="n">
        <v>7</v>
      </c>
      <c r="H50" s="7" t="s">
        <v>93</v>
      </c>
      <c r="I50" s="5" t="n">
        <v>20</v>
      </c>
      <c r="J50" s="5" t="s">
        <v>24</v>
      </c>
    </row>
    <row r="51" customFormat="false" ht="15" hidden="false" customHeight="false" outlineLevel="0" collapsed="false">
      <c r="A51" s="2" t="n">
        <v>45432</v>
      </c>
      <c r="B51" s="5" t="n">
        <v>2024</v>
      </c>
      <c r="C51" s="5" t="n">
        <v>5</v>
      </c>
      <c r="D51" s="7" t="s">
        <v>94</v>
      </c>
      <c r="E51" s="7" t="s">
        <v>95</v>
      </c>
      <c r="F51" s="5" t="n">
        <v>20</v>
      </c>
      <c r="G51" s="5" t="n">
        <v>1</v>
      </c>
      <c r="H51" s="7" t="s">
        <v>87</v>
      </c>
      <c r="I51" s="5" t="n">
        <v>21</v>
      </c>
      <c r="J51" s="5" t="s">
        <v>21</v>
      </c>
    </row>
    <row r="52" customFormat="false" ht="15" hidden="false" customHeight="false" outlineLevel="0" collapsed="false">
      <c r="A52" s="2" t="n">
        <v>45433</v>
      </c>
      <c r="B52" s="5" t="n">
        <v>2024</v>
      </c>
      <c r="C52" s="5" t="n">
        <v>5</v>
      </c>
      <c r="D52" s="7" t="s">
        <v>94</v>
      </c>
      <c r="E52" s="7" t="s">
        <v>95</v>
      </c>
      <c r="F52" s="5" t="n">
        <v>21</v>
      </c>
      <c r="G52" s="5" t="n">
        <v>2</v>
      </c>
      <c r="H52" s="7" t="s">
        <v>88</v>
      </c>
      <c r="I52" s="5" t="n">
        <v>21</v>
      </c>
      <c r="J52" s="5" t="s">
        <v>21</v>
      </c>
    </row>
    <row r="53" customFormat="false" ht="15" hidden="false" customHeight="false" outlineLevel="0" collapsed="false">
      <c r="A53" s="2" t="n">
        <v>45434</v>
      </c>
      <c r="B53" s="5" t="n">
        <v>2024</v>
      </c>
      <c r="C53" s="5" t="n">
        <v>5</v>
      </c>
      <c r="D53" s="7" t="s">
        <v>94</v>
      </c>
      <c r="E53" s="7" t="s">
        <v>95</v>
      </c>
      <c r="F53" s="5" t="n">
        <v>22</v>
      </c>
      <c r="G53" s="5" t="n">
        <v>3</v>
      </c>
      <c r="H53" s="7" t="s">
        <v>89</v>
      </c>
      <c r="I53" s="5" t="n">
        <v>21</v>
      </c>
      <c r="J53" s="5" t="s">
        <v>21</v>
      </c>
    </row>
    <row r="54" customFormat="false" ht="15" hidden="false" customHeight="false" outlineLevel="0" collapsed="false">
      <c r="A54" s="2" t="n">
        <v>45435</v>
      </c>
      <c r="B54" s="5" t="n">
        <v>2024</v>
      </c>
      <c r="C54" s="5" t="n">
        <v>5</v>
      </c>
      <c r="D54" s="7" t="s">
        <v>94</v>
      </c>
      <c r="E54" s="7" t="s">
        <v>95</v>
      </c>
      <c r="F54" s="5" t="n">
        <v>23</v>
      </c>
      <c r="G54" s="5" t="n">
        <v>4</v>
      </c>
      <c r="H54" s="7" t="s">
        <v>90</v>
      </c>
      <c r="I54" s="5" t="n">
        <v>21</v>
      </c>
      <c r="J54" s="5" t="s">
        <v>21</v>
      </c>
    </row>
    <row r="55" customFormat="false" ht="15" hidden="false" customHeight="false" outlineLevel="0" collapsed="false">
      <c r="A55" s="2" t="n">
        <v>45436</v>
      </c>
      <c r="B55" s="5" t="n">
        <v>2024</v>
      </c>
      <c r="C55" s="5" t="n">
        <v>5</v>
      </c>
      <c r="D55" s="7" t="s">
        <v>94</v>
      </c>
      <c r="E55" s="7" t="s">
        <v>95</v>
      </c>
      <c r="F55" s="5" t="n">
        <v>24</v>
      </c>
      <c r="G55" s="5" t="n">
        <v>5</v>
      </c>
      <c r="H55" s="7" t="s">
        <v>91</v>
      </c>
      <c r="I55" s="5" t="n">
        <v>21</v>
      </c>
      <c r="J55" s="5" t="s">
        <v>21</v>
      </c>
    </row>
    <row r="56" customFormat="false" ht="15" hidden="false" customHeight="false" outlineLevel="0" collapsed="false">
      <c r="A56" s="2" t="n">
        <v>45437</v>
      </c>
      <c r="B56" s="5" t="n">
        <v>2024</v>
      </c>
      <c r="C56" s="5" t="n">
        <v>5</v>
      </c>
      <c r="D56" s="7" t="s">
        <v>94</v>
      </c>
      <c r="E56" s="7" t="s">
        <v>95</v>
      </c>
      <c r="F56" s="5" t="n">
        <v>25</v>
      </c>
      <c r="G56" s="5" t="n">
        <v>6</v>
      </c>
      <c r="H56" s="7" t="s">
        <v>92</v>
      </c>
      <c r="I56" s="5" t="n">
        <v>21</v>
      </c>
      <c r="J56" s="5" t="s">
        <v>24</v>
      </c>
    </row>
    <row r="57" customFormat="false" ht="15" hidden="false" customHeight="false" outlineLevel="0" collapsed="false">
      <c r="A57" s="2" t="n">
        <v>45438</v>
      </c>
      <c r="B57" s="5" t="n">
        <v>2024</v>
      </c>
      <c r="C57" s="5" t="n">
        <v>5</v>
      </c>
      <c r="D57" s="7" t="s">
        <v>94</v>
      </c>
      <c r="E57" s="7" t="s">
        <v>95</v>
      </c>
      <c r="F57" s="5" t="n">
        <v>26</v>
      </c>
      <c r="G57" s="5" t="n">
        <v>7</v>
      </c>
      <c r="H57" s="7" t="s">
        <v>93</v>
      </c>
      <c r="I57" s="5" t="n">
        <v>21</v>
      </c>
      <c r="J57" s="5" t="s">
        <v>24</v>
      </c>
    </row>
    <row r="58" customFormat="false" ht="15" hidden="false" customHeight="false" outlineLevel="0" collapsed="false">
      <c r="A58" s="2" t="n">
        <v>45439</v>
      </c>
      <c r="B58" s="5" t="n">
        <v>2024</v>
      </c>
      <c r="C58" s="5" t="n">
        <v>5</v>
      </c>
      <c r="D58" s="7" t="s">
        <v>94</v>
      </c>
      <c r="E58" s="7" t="s">
        <v>95</v>
      </c>
      <c r="F58" s="5" t="n">
        <v>27</v>
      </c>
      <c r="G58" s="5" t="n">
        <v>1</v>
      </c>
      <c r="H58" s="7" t="s">
        <v>87</v>
      </c>
      <c r="I58" s="5" t="n">
        <v>22</v>
      </c>
      <c r="J58" s="5" t="s">
        <v>21</v>
      </c>
    </row>
    <row r="59" customFormat="false" ht="15" hidden="false" customHeight="false" outlineLevel="0" collapsed="false">
      <c r="A59" s="2" t="n">
        <v>45440</v>
      </c>
      <c r="B59" s="5" t="n">
        <v>2024</v>
      </c>
      <c r="C59" s="5" t="n">
        <v>5</v>
      </c>
      <c r="D59" s="7" t="s">
        <v>94</v>
      </c>
      <c r="E59" s="7" t="s">
        <v>95</v>
      </c>
      <c r="F59" s="5" t="n">
        <v>28</v>
      </c>
      <c r="G59" s="5" t="n">
        <v>2</v>
      </c>
      <c r="H59" s="7" t="s">
        <v>88</v>
      </c>
      <c r="I59" s="5" t="n">
        <v>22</v>
      </c>
      <c r="J59" s="5" t="s">
        <v>21</v>
      </c>
    </row>
    <row r="60" customFormat="false" ht="15" hidden="false" customHeight="false" outlineLevel="0" collapsed="false">
      <c r="A60" s="2" t="n">
        <v>45441</v>
      </c>
      <c r="B60" s="5" t="n">
        <v>2024</v>
      </c>
      <c r="C60" s="5" t="n">
        <v>5</v>
      </c>
      <c r="D60" s="7" t="s">
        <v>94</v>
      </c>
      <c r="E60" s="7" t="s">
        <v>95</v>
      </c>
      <c r="F60" s="5" t="n">
        <v>29</v>
      </c>
      <c r="G60" s="5" t="n">
        <v>3</v>
      </c>
      <c r="H60" s="7" t="s">
        <v>89</v>
      </c>
      <c r="I60" s="5" t="n">
        <v>22</v>
      </c>
      <c r="J60" s="5" t="s">
        <v>21</v>
      </c>
    </row>
    <row r="61" customFormat="false" ht="15" hidden="false" customHeight="false" outlineLevel="0" collapsed="false">
      <c r="A61" s="2" t="n">
        <v>45442</v>
      </c>
      <c r="B61" s="5" t="n">
        <v>2024</v>
      </c>
      <c r="C61" s="5" t="n">
        <v>5</v>
      </c>
      <c r="D61" s="7" t="s">
        <v>94</v>
      </c>
      <c r="E61" s="7" t="s">
        <v>95</v>
      </c>
      <c r="F61" s="5" t="n">
        <v>30</v>
      </c>
      <c r="G61" s="5" t="n">
        <v>4</v>
      </c>
      <c r="H61" s="7" t="s">
        <v>90</v>
      </c>
      <c r="I61" s="5" t="n">
        <v>22</v>
      </c>
      <c r="J61" s="5" t="s">
        <v>21</v>
      </c>
    </row>
    <row r="62" customFormat="false" ht="15" hidden="false" customHeight="false" outlineLevel="0" collapsed="false">
      <c r="A62" s="2" t="n">
        <v>45443</v>
      </c>
      <c r="B62" s="5" t="n">
        <v>2024</v>
      </c>
      <c r="C62" s="5" t="n">
        <v>5</v>
      </c>
      <c r="D62" s="7" t="s">
        <v>94</v>
      </c>
      <c r="E62" s="7" t="s">
        <v>95</v>
      </c>
      <c r="F62" s="5" t="n">
        <v>31</v>
      </c>
      <c r="G62" s="5" t="n">
        <v>5</v>
      </c>
      <c r="H62" s="7" t="s">
        <v>91</v>
      </c>
      <c r="I62" s="5" t="n">
        <v>22</v>
      </c>
      <c r="J62" s="5" t="s">
        <v>21</v>
      </c>
    </row>
    <row r="63" customFormat="false" ht="15" hidden="false" customHeight="false" outlineLevel="0" collapsed="false">
      <c r="A63" s="2" t="n">
        <v>45444</v>
      </c>
      <c r="B63" s="5" t="n">
        <v>2024</v>
      </c>
      <c r="C63" s="5" t="n">
        <v>6</v>
      </c>
      <c r="D63" s="7" t="s">
        <v>96</v>
      </c>
      <c r="E63" s="7" t="s">
        <v>97</v>
      </c>
      <c r="F63" s="5" t="n">
        <v>1</v>
      </c>
      <c r="G63" s="5" t="n">
        <v>6</v>
      </c>
      <c r="H63" s="7" t="s">
        <v>92</v>
      </c>
      <c r="I63" s="5" t="n">
        <v>22</v>
      </c>
      <c r="J63" s="5" t="s">
        <v>24</v>
      </c>
    </row>
    <row r="64" customFormat="false" ht="15" hidden="false" customHeight="false" outlineLevel="0" collapsed="false">
      <c r="A64" s="2" t="n">
        <v>45445</v>
      </c>
      <c r="B64" s="5" t="n">
        <v>2024</v>
      </c>
      <c r="C64" s="5" t="n">
        <v>6</v>
      </c>
      <c r="D64" s="7" t="s">
        <v>96</v>
      </c>
      <c r="E64" s="7" t="s">
        <v>97</v>
      </c>
      <c r="F64" s="5" t="n">
        <v>2</v>
      </c>
      <c r="G64" s="5" t="n">
        <v>7</v>
      </c>
      <c r="H64" s="7" t="s">
        <v>93</v>
      </c>
      <c r="I64" s="5" t="n">
        <v>22</v>
      </c>
      <c r="J64" s="5" t="s">
        <v>24</v>
      </c>
    </row>
    <row r="65" customFormat="false" ht="15" hidden="false" customHeight="false" outlineLevel="0" collapsed="false">
      <c r="A65" s="2" t="n">
        <v>45446</v>
      </c>
      <c r="B65" s="5" t="n">
        <v>2024</v>
      </c>
      <c r="C65" s="5" t="n">
        <v>6</v>
      </c>
      <c r="D65" s="7" t="s">
        <v>96</v>
      </c>
      <c r="E65" s="7" t="s">
        <v>97</v>
      </c>
      <c r="F65" s="5" t="n">
        <v>3</v>
      </c>
      <c r="G65" s="5" t="n">
        <v>1</v>
      </c>
      <c r="H65" s="7" t="s">
        <v>87</v>
      </c>
      <c r="I65" s="5" t="n">
        <v>23</v>
      </c>
      <c r="J65" s="5" t="s">
        <v>21</v>
      </c>
    </row>
    <row r="66" customFormat="false" ht="15" hidden="false" customHeight="false" outlineLevel="0" collapsed="false">
      <c r="A66" s="2" t="n">
        <v>45447</v>
      </c>
      <c r="B66" s="5" t="n">
        <v>2024</v>
      </c>
      <c r="C66" s="5" t="n">
        <v>6</v>
      </c>
      <c r="D66" s="7" t="s">
        <v>96</v>
      </c>
      <c r="E66" s="7" t="s">
        <v>97</v>
      </c>
      <c r="F66" s="5" t="n">
        <v>4</v>
      </c>
      <c r="G66" s="5" t="n">
        <v>2</v>
      </c>
      <c r="H66" s="7" t="s">
        <v>88</v>
      </c>
      <c r="I66" s="5" t="n">
        <v>23</v>
      </c>
      <c r="J66" s="5" t="s">
        <v>21</v>
      </c>
    </row>
    <row r="67" customFormat="false" ht="15" hidden="false" customHeight="false" outlineLevel="0" collapsed="false">
      <c r="A67" s="2" t="n">
        <v>45448</v>
      </c>
      <c r="B67" s="5" t="n">
        <v>2024</v>
      </c>
      <c r="C67" s="5" t="n">
        <v>6</v>
      </c>
      <c r="D67" s="7" t="s">
        <v>96</v>
      </c>
      <c r="E67" s="7" t="s">
        <v>97</v>
      </c>
      <c r="F67" s="5" t="n">
        <v>5</v>
      </c>
      <c r="G67" s="5" t="n">
        <v>3</v>
      </c>
      <c r="H67" s="7" t="s">
        <v>89</v>
      </c>
      <c r="I67" s="5" t="n">
        <v>23</v>
      </c>
      <c r="J67" s="5" t="s">
        <v>21</v>
      </c>
    </row>
    <row r="68" customFormat="false" ht="15" hidden="false" customHeight="false" outlineLevel="0" collapsed="false">
      <c r="A68" s="2" t="n">
        <v>45449</v>
      </c>
      <c r="B68" s="5" t="n">
        <v>2024</v>
      </c>
      <c r="C68" s="5" t="n">
        <v>6</v>
      </c>
      <c r="D68" s="7" t="s">
        <v>96</v>
      </c>
      <c r="E68" s="7" t="s">
        <v>97</v>
      </c>
      <c r="F68" s="5" t="n">
        <v>6</v>
      </c>
      <c r="G68" s="5" t="n">
        <v>4</v>
      </c>
      <c r="H68" s="7" t="s">
        <v>90</v>
      </c>
      <c r="I68" s="5" t="n">
        <v>23</v>
      </c>
      <c r="J68" s="5" t="s">
        <v>21</v>
      </c>
    </row>
    <row r="69" customFormat="false" ht="15" hidden="false" customHeight="false" outlineLevel="0" collapsed="false">
      <c r="A69" s="2" t="n">
        <v>45450</v>
      </c>
      <c r="B69" s="5" t="n">
        <v>2024</v>
      </c>
      <c r="C69" s="5" t="n">
        <v>6</v>
      </c>
      <c r="D69" s="7" t="s">
        <v>96</v>
      </c>
      <c r="E69" s="7" t="s">
        <v>97</v>
      </c>
      <c r="F69" s="5" t="n">
        <v>7</v>
      </c>
      <c r="G69" s="5" t="n">
        <v>5</v>
      </c>
      <c r="H69" s="7" t="s">
        <v>91</v>
      </c>
      <c r="I69" s="5" t="n">
        <v>23</v>
      </c>
      <c r="J69" s="5" t="s">
        <v>21</v>
      </c>
    </row>
    <row r="70" customFormat="false" ht="15" hidden="false" customHeight="false" outlineLevel="0" collapsed="false">
      <c r="A70" s="2" t="n">
        <v>45451</v>
      </c>
      <c r="B70" s="5" t="n">
        <v>2024</v>
      </c>
      <c r="C70" s="5" t="n">
        <v>6</v>
      </c>
      <c r="D70" s="7" t="s">
        <v>96</v>
      </c>
      <c r="E70" s="7" t="s">
        <v>97</v>
      </c>
      <c r="F70" s="5" t="n">
        <v>8</v>
      </c>
      <c r="G70" s="5" t="n">
        <v>6</v>
      </c>
      <c r="H70" s="7" t="s">
        <v>92</v>
      </c>
      <c r="I70" s="5" t="n">
        <v>23</v>
      </c>
      <c r="J70" s="5" t="s">
        <v>24</v>
      </c>
    </row>
    <row r="71" customFormat="false" ht="15" hidden="false" customHeight="false" outlineLevel="0" collapsed="false">
      <c r="A71" s="2" t="n">
        <v>45452</v>
      </c>
      <c r="B71" s="5" t="n">
        <v>2024</v>
      </c>
      <c r="C71" s="5" t="n">
        <v>6</v>
      </c>
      <c r="D71" s="7" t="s">
        <v>96</v>
      </c>
      <c r="E71" s="7" t="s">
        <v>97</v>
      </c>
      <c r="F71" s="5" t="n">
        <v>9</v>
      </c>
      <c r="G71" s="5" t="n">
        <v>7</v>
      </c>
      <c r="H71" s="7" t="s">
        <v>93</v>
      </c>
      <c r="I71" s="5" t="n">
        <v>23</v>
      </c>
      <c r="J71" s="5" t="s">
        <v>24</v>
      </c>
    </row>
    <row r="72" customFormat="false" ht="15" hidden="false" customHeight="false" outlineLevel="0" collapsed="false">
      <c r="A72" s="2" t="n">
        <v>45453</v>
      </c>
      <c r="B72" s="5" t="n">
        <v>2024</v>
      </c>
      <c r="C72" s="5" t="n">
        <v>6</v>
      </c>
      <c r="D72" s="7" t="s">
        <v>96</v>
      </c>
      <c r="E72" s="7" t="s">
        <v>97</v>
      </c>
      <c r="F72" s="5" t="n">
        <v>10</v>
      </c>
      <c r="G72" s="5" t="n">
        <v>1</v>
      </c>
      <c r="H72" s="7" t="s">
        <v>87</v>
      </c>
      <c r="I72" s="5" t="n">
        <v>24</v>
      </c>
      <c r="J72" s="5" t="s">
        <v>21</v>
      </c>
    </row>
    <row r="73" customFormat="false" ht="15" hidden="false" customHeight="false" outlineLevel="0" collapsed="false">
      <c r="A73" s="2" t="n">
        <v>45454</v>
      </c>
      <c r="B73" s="5" t="n">
        <v>2024</v>
      </c>
      <c r="C73" s="5" t="n">
        <v>6</v>
      </c>
      <c r="D73" s="7" t="s">
        <v>96</v>
      </c>
      <c r="E73" s="7" t="s">
        <v>97</v>
      </c>
      <c r="F73" s="5" t="n">
        <v>11</v>
      </c>
      <c r="G73" s="5" t="n">
        <v>2</v>
      </c>
      <c r="H73" s="7" t="s">
        <v>88</v>
      </c>
      <c r="I73" s="5" t="n">
        <v>24</v>
      </c>
      <c r="J73" s="5" t="s">
        <v>21</v>
      </c>
    </row>
    <row r="74" customFormat="false" ht="15" hidden="false" customHeight="false" outlineLevel="0" collapsed="false">
      <c r="A74" s="2" t="n">
        <v>45455</v>
      </c>
      <c r="B74" s="5" t="n">
        <v>2024</v>
      </c>
      <c r="C74" s="5" t="n">
        <v>6</v>
      </c>
      <c r="D74" s="7" t="s">
        <v>96</v>
      </c>
      <c r="E74" s="7" t="s">
        <v>97</v>
      </c>
      <c r="F74" s="5" t="n">
        <v>12</v>
      </c>
      <c r="G74" s="5" t="n">
        <v>3</v>
      </c>
      <c r="H74" s="7" t="s">
        <v>89</v>
      </c>
      <c r="I74" s="5" t="n">
        <v>24</v>
      </c>
      <c r="J74" s="5" t="s">
        <v>21</v>
      </c>
    </row>
    <row r="75" customFormat="false" ht="15" hidden="false" customHeight="false" outlineLevel="0" collapsed="false">
      <c r="A75" s="2" t="n">
        <v>45456</v>
      </c>
      <c r="B75" s="5" t="n">
        <v>2024</v>
      </c>
      <c r="C75" s="5" t="n">
        <v>6</v>
      </c>
      <c r="D75" s="7" t="s">
        <v>96</v>
      </c>
      <c r="E75" s="7" t="s">
        <v>97</v>
      </c>
      <c r="F75" s="5" t="n">
        <v>13</v>
      </c>
      <c r="G75" s="5" t="n">
        <v>4</v>
      </c>
      <c r="H75" s="7" t="s">
        <v>90</v>
      </c>
      <c r="I75" s="5" t="n">
        <v>24</v>
      </c>
      <c r="J75" s="5" t="s">
        <v>21</v>
      </c>
    </row>
    <row r="76" customFormat="false" ht="15" hidden="false" customHeight="false" outlineLevel="0" collapsed="false">
      <c r="A76" s="2" t="n">
        <v>45457</v>
      </c>
      <c r="B76" s="5" t="n">
        <v>2024</v>
      </c>
      <c r="C76" s="5" t="n">
        <v>6</v>
      </c>
      <c r="D76" s="7" t="s">
        <v>96</v>
      </c>
      <c r="E76" s="7" t="s">
        <v>97</v>
      </c>
      <c r="F76" s="5" t="n">
        <v>14</v>
      </c>
      <c r="G76" s="5" t="n">
        <v>5</v>
      </c>
      <c r="H76" s="7" t="s">
        <v>91</v>
      </c>
      <c r="I76" s="5" t="n">
        <v>24</v>
      </c>
      <c r="J76" s="5" t="s">
        <v>21</v>
      </c>
    </row>
    <row r="77" customFormat="false" ht="15" hidden="false" customHeight="false" outlineLevel="0" collapsed="false">
      <c r="A77" s="2" t="n">
        <v>45458</v>
      </c>
      <c r="B77" s="5" t="n">
        <v>2024</v>
      </c>
      <c r="C77" s="5" t="n">
        <v>6</v>
      </c>
      <c r="D77" s="7" t="s">
        <v>96</v>
      </c>
      <c r="E77" s="7" t="s">
        <v>97</v>
      </c>
      <c r="F77" s="5" t="n">
        <v>15</v>
      </c>
      <c r="G77" s="5" t="n">
        <v>6</v>
      </c>
      <c r="H77" s="7" t="s">
        <v>92</v>
      </c>
      <c r="I77" s="5" t="n">
        <v>24</v>
      </c>
      <c r="J77" s="5" t="s">
        <v>24</v>
      </c>
    </row>
    <row r="78" customFormat="false" ht="15" hidden="false" customHeight="false" outlineLevel="0" collapsed="false">
      <c r="A78" s="2" t="n">
        <v>45459</v>
      </c>
      <c r="B78" s="5" t="n">
        <v>2024</v>
      </c>
      <c r="C78" s="5" t="n">
        <v>6</v>
      </c>
      <c r="D78" s="7" t="s">
        <v>96</v>
      </c>
      <c r="E78" s="7" t="s">
        <v>97</v>
      </c>
      <c r="F78" s="5" t="n">
        <v>16</v>
      </c>
      <c r="G78" s="5" t="n">
        <v>7</v>
      </c>
      <c r="H78" s="7" t="s">
        <v>93</v>
      </c>
      <c r="I78" s="5" t="n">
        <v>24</v>
      </c>
      <c r="J78" s="5" t="s">
        <v>24</v>
      </c>
    </row>
    <row r="79" customFormat="false" ht="15" hidden="false" customHeight="false" outlineLevel="0" collapsed="false">
      <c r="A79" s="2" t="n">
        <v>45460</v>
      </c>
      <c r="B79" s="5" t="n">
        <v>2024</v>
      </c>
      <c r="C79" s="5" t="n">
        <v>6</v>
      </c>
      <c r="D79" s="7" t="s">
        <v>96</v>
      </c>
      <c r="E79" s="7" t="s">
        <v>97</v>
      </c>
      <c r="F79" s="5" t="n">
        <v>17</v>
      </c>
      <c r="G79" s="5" t="n">
        <v>1</v>
      </c>
      <c r="H79" s="7" t="s">
        <v>87</v>
      </c>
      <c r="I79" s="5" t="n">
        <v>25</v>
      </c>
      <c r="J79" s="5" t="s">
        <v>21</v>
      </c>
    </row>
    <row r="80" customFormat="false" ht="15" hidden="false" customHeight="false" outlineLevel="0" collapsed="false">
      <c r="A80" s="2" t="n">
        <v>45461</v>
      </c>
      <c r="B80" s="5" t="n">
        <v>2024</v>
      </c>
      <c r="C80" s="5" t="n">
        <v>6</v>
      </c>
      <c r="D80" s="7" t="s">
        <v>96</v>
      </c>
      <c r="E80" s="7" t="s">
        <v>97</v>
      </c>
      <c r="F80" s="5" t="n">
        <v>18</v>
      </c>
      <c r="G80" s="5" t="n">
        <v>2</v>
      </c>
      <c r="H80" s="7" t="s">
        <v>88</v>
      </c>
      <c r="I80" s="5" t="n">
        <v>25</v>
      </c>
      <c r="J80" s="5" t="s">
        <v>21</v>
      </c>
    </row>
    <row r="81" customFormat="false" ht="15" hidden="false" customHeight="false" outlineLevel="0" collapsed="false">
      <c r="A81" s="2" t="n">
        <v>45462</v>
      </c>
      <c r="B81" s="5" t="n">
        <v>2024</v>
      </c>
      <c r="C81" s="5" t="n">
        <v>6</v>
      </c>
      <c r="D81" s="7" t="s">
        <v>96</v>
      </c>
      <c r="E81" s="7" t="s">
        <v>97</v>
      </c>
      <c r="F81" s="5" t="n">
        <v>19</v>
      </c>
      <c r="G81" s="5" t="n">
        <v>3</v>
      </c>
      <c r="H81" s="7" t="s">
        <v>89</v>
      </c>
      <c r="I81" s="5" t="n">
        <v>25</v>
      </c>
      <c r="J81" s="5" t="s">
        <v>21</v>
      </c>
    </row>
    <row r="82" customFormat="false" ht="15" hidden="false" customHeight="false" outlineLevel="0" collapsed="false">
      <c r="A82" s="2" t="n">
        <v>45463</v>
      </c>
      <c r="B82" s="5" t="n">
        <v>2024</v>
      </c>
      <c r="C82" s="5" t="n">
        <v>6</v>
      </c>
      <c r="D82" s="7" t="s">
        <v>96</v>
      </c>
      <c r="E82" s="7" t="s">
        <v>97</v>
      </c>
      <c r="F82" s="5" t="n">
        <v>20</v>
      </c>
      <c r="G82" s="5" t="n">
        <v>4</v>
      </c>
      <c r="H82" s="7" t="s">
        <v>90</v>
      </c>
      <c r="I82" s="5" t="n">
        <v>25</v>
      </c>
      <c r="J82" s="5" t="s">
        <v>21</v>
      </c>
    </row>
    <row r="83" customFormat="false" ht="15" hidden="false" customHeight="false" outlineLevel="0" collapsed="false">
      <c r="A83" s="2" t="n">
        <v>45464</v>
      </c>
      <c r="B83" s="5" t="n">
        <v>2024</v>
      </c>
      <c r="C83" s="5" t="n">
        <v>6</v>
      </c>
      <c r="D83" s="7" t="s">
        <v>96</v>
      </c>
      <c r="E83" s="7" t="s">
        <v>97</v>
      </c>
      <c r="F83" s="5" t="n">
        <v>21</v>
      </c>
      <c r="G83" s="5" t="n">
        <v>5</v>
      </c>
      <c r="H83" s="7" t="s">
        <v>91</v>
      </c>
      <c r="I83" s="5" t="n">
        <v>25</v>
      </c>
      <c r="J83" s="5" t="s">
        <v>21</v>
      </c>
    </row>
    <row r="84" customFormat="false" ht="15" hidden="false" customHeight="false" outlineLevel="0" collapsed="false">
      <c r="A84" s="2" t="n">
        <v>45465</v>
      </c>
      <c r="B84" s="5" t="n">
        <v>2024</v>
      </c>
      <c r="C84" s="5" t="n">
        <v>6</v>
      </c>
      <c r="D84" s="7" t="s">
        <v>96</v>
      </c>
      <c r="E84" s="7" t="s">
        <v>97</v>
      </c>
      <c r="F84" s="5" t="n">
        <v>22</v>
      </c>
      <c r="G84" s="5" t="n">
        <v>6</v>
      </c>
      <c r="H84" s="7" t="s">
        <v>92</v>
      </c>
      <c r="I84" s="5" t="n">
        <v>25</v>
      </c>
      <c r="J84" s="5" t="s">
        <v>24</v>
      </c>
    </row>
    <row r="85" customFormat="false" ht="15" hidden="false" customHeight="false" outlineLevel="0" collapsed="false">
      <c r="A85" s="2" t="n">
        <v>45466</v>
      </c>
      <c r="B85" s="5" t="n">
        <v>2024</v>
      </c>
      <c r="C85" s="5" t="n">
        <v>6</v>
      </c>
      <c r="D85" s="7" t="s">
        <v>96</v>
      </c>
      <c r="E85" s="7" t="s">
        <v>97</v>
      </c>
      <c r="F85" s="5" t="n">
        <v>23</v>
      </c>
      <c r="G85" s="5" t="n">
        <v>7</v>
      </c>
      <c r="H85" s="7" t="s">
        <v>93</v>
      </c>
      <c r="I85" s="5" t="n">
        <v>25</v>
      </c>
      <c r="J85" s="5" t="s">
        <v>24</v>
      </c>
    </row>
    <row r="86" customFormat="false" ht="15" hidden="false" customHeight="false" outlineLevel="0" collapsed="false">
      <c r="A86" s="2" t="n">
        <v>45467</v>
      </c>
      <c r="B86" s="5" t="n">
        <v>2024</v>
      </c>
      <c r="C86" s="5" t="n">
        <v>6</v>
      </c>
      <c r="D86" s="7" t="s">
        <v>96</v>
      </c>
      <c r="E86" s="7" t="s">
        <v>97</v>
      </c>
      <c r="F86" s="5" t="n">
        <v>24</v>
      </c>
      <c r="G86" s="5" t="n">
        <v>1</v>
      </c>
      <c r="H86" s="7" t="s">
        <v>87</v>
      </c>
      <c r="I86" s="5" t="n">
        <v>26</v>
      </c>
      <c r="J86" s="5" t="s">
        <v>21</v>
      </c>
    </row>
    <row r="87" customFormat="false" ht="15" hidden="false" customHeight="false" outlineLevel="0" collapsed="false">
      <c r="A87" s="2" t="n">
        <v>45468</v>
      </c>
      <c r="B87" s="5" t="n">
        <v>2024</v>
      </c>
      <c r="C87" s="5" t="n">
        <v>6</v>
      </c>
      <c r="D87" s="7" t="s">
        <v>96</v>
      </c>
      <c r="E87" s="7" t="s">
        <v>97</v>
      </c>
      <c r="F87" s="5" t="n">
        <v>25</v>
      </c>
      <c r="G87" s="5" t="n">
        <v>2</v>
      </c>
      <c r="H87" s="7" t="s">
        <v>88</v>
      </c>
      <c r="I87" s="5" t="n">
        <v>26</v>
      </c>
      <c r="J87" s="5" t="s">
        <v>21</v>
      </c>
    </row>
    <row r="88" customFormat="false" ht="15" hidden="false" customHeight="false" outlineLevel="0" collapsed="false">
      <c r="A88" s="2" t="n">
        <v>45469</v>
      </c>
      <c r="B88" s="5" t="n">
        <v>2024</v>
      </c>
      <c r="C88" s="5" t="n">
        <v>6</v>
      </c>
      <c r="D88" s="7" t="s">
        <v>96</v>
      </c>
      <c r="E88" s="7" t="s">
        <v>97</v>
      </c>
      <c r="F88" s="5" t="n">
        <v>26</v>
      </c>
      <c r="G88" s="5" t="n">
        <v>3</v>
      </c>
      <c r="H88" s="7" t="s">
        <v>89</v>
      </c>
      <c r="I88" s="5" t="n">
        <v>26</v>
      </c>
      <c r="J88" s="5" t="s">
        <v>21</v>
      </c>
    </row>
    <row r="89" customFormat="false" ht="15" hidden="false" customHeight="false" outlineLevel="0" collapsed="false">
      <c r="A89" s="2" t="n">
        <v>45470</v>
      </c>
      <c r="B89" s="5" t="n">
        <v>2024</v>
      </c>
      <c r="C89" s="5" t="n">
        <v>6</v>
      </c>
      <c r="D89" s="7" t="s">
        <v>96</v>
      </c>
      <c r="E89" s="7" t="s">
        <v>97</v>
      </c>
      <c r="F89" s="5" t="n">
        <v>27</v>
      </c>
      <c r="G89" s="5" t="n">
        <v>4</v>
      </c>
      <c r="H89" s="7" t="s">
        <v>90</v>
      </c>
      <c r="I89" s="5" t="n">
        <v>26</v>
      </c>
      <c r="J89" s="5" t="s">
        <v>21</v>
      </c>
    </row>
    <row r="90" customFormat="false" ht="15" hidden="false" customHeight="false" outlineLevel="0" collapsed="false">
      <c r="A90" s="2" t="n">
        <v>45471</v>
      </c>
      <c r="B90" s="5" t="n">
        <v>2024</v>
      </c>
      <c r="C90" s="5" t="n">
        <v>6</v>
      </c>
      <c r="D90" s="7" t="s">
        <v>96</v>
      </c>
      <c r="E90" s="7" t="s">
        <v>97</v>
      </c>
      <c r="F90" s="5" t="n">
        <v>28</v>
      </c>
      <c r="G90" s="5" t="n">
        <v>5</v>
      </c>
      <c r="H90" s="7" t="s">
        <v>91</v>
      </c>
      <c r="I90" s="5" t="n">
        <v>26</v>
      </c>
      <c r="J90" s="5" t="s">
        <v>21</v>
      </c>
    </row>
    <row r="91" customFormat="false" ht="15" hidden="false" customHeight="false" outlineLevel="0" collapsed="false">
      <c r="A91" s="2" t="n">
        <v>45472</v>
      </c>
      <c r="B91" s="5" t="n">
        <v>2024</v>
      </c>
      <c r="C91" s="5" t="n">
        <v>6</v>
      </c>
      <c r="D91" s="7" t="s">
        <v>96</v>
      </c>
      <c r="E91" s="7" t="s">
        <v>97</v>
      </c>
      <c r="F91" s="5" t="n">
        <v>29</v>
      </c>
      <c r="G91" s="5" t="n">
        <v>6</v>
      </c>
      <c r="H91" s="7" t="s">
        <v>92</v>
      </c>
      <c r="I91" s="5" t="n">
        <v>26</v>
      </c>
      <c r="J91" s="5" t="s">
        <v>24</v>
      </c>
    </row>
    <row r="92" customFormat="false" ht="15" hidden="false" customHeight="false" outlineLevel="0" collapsed="false">
      <c r="A92" s="2" t="n">
        <v>45473</v>
      </c>
      <c r="B92" s="5" t="n">
        <v>2024</v>
      </c>
      <c r="C92" s="5" t="n">
        <v>6</v>
      </c>
      <c r="D92" s="7" t="s">
        <v>96</v>
      </c>
      <c r="E92" s="7" t="s">
        <v>97</v>
      </c>
      <c r="F92" s="5" t="n">
        <v>30</v>
      </c>
      <c r="G92" s="5" t="n">
        <v>7</v>
      </c>
      <c r="H92" s="7" t="s">
        <v>93</v>
      </c>
      <c r="I92" s="5" t="n">
        <v>26</v>
      </c>
      <c r="J92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2026-07-15T23:11:34Z</dcterms:created>
  <dc:creator>openpyxl</dc:creator>
  <dc:description/>
  <dc:language>en-US</dc:language>
  <cp:lastModifiedBy/>
  <dcterms:modified xsi:type="dcterms:W3CDTF">2026-07-15T23:11:34Z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