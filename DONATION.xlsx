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第 1 张表单回复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<sst xmlns="http://schemas.openxmlformats.org/spreadsheetml/2006/main" count="297" uniqueCount="242">
  <si>
    <t>时间戳记</t>
  </si>
  <si>
    <t>电子邮件地址</t>
  </si>
  <si>
    <t>姓名</t>
  </si>
  <si>
    <t>捐款</t>
  </si>
  <si>
    <t>手机号码</t>
  </si>
  <si>
    <t>捐款截屏</t>
  </si>
  <si>
    <t>wenkangchee@gmail.com</t>
  </si>
  <si>
    <t>汶慷</t>
  </si>
  <si>
    <t>01110775693</t>
  </si>
  <si>
    <t>https://drive.google.com/open?id=1k7bNmB0rscy1MGFfk4jQGqlOaybhGoZD</t>
  </si>
  <si>
    <t>suethui1128@gmail.com</t>
  </si>
  <si>
    <t>SH</t>
  </si>
  <si>
    <t>01117759384</t>
  </si>
  <si>
    <t>https://drive.google.com/open?id=1VIPweZ9Mp2TxbBdbtjs2yto0DoKollHc</t>
  </si>
  <si>
    <t>jocky7654@gmail.com</t>
  </si>
  <si>
    <t xml:space="preserve">Jocky </t>
  </si>
  <si>
    <t>01136957228</t>
  </si>
  <si>
    <t>https://drive.google.com/open?id=1cgF-Dvr9saVTE9aQ_1pfAZ6kMkb5XGoi</t>
  </si>
  <si>
    <t>yaprongwen@gmail.com</t>
  </si>
  <si>
    <t>Yap Rong Wen</t>
  </si>
  <si>
    <t>0182621261</t>
  </si>
  <si>
    <t>https://drive.google.com/open?id=1QceqyinBGvbAn-muIgh1cz8V-3A9bdla</t>
  </si>
  <si>
    <t>ooisiying1025@gmail.com</t>
  </si>
  <si>
    <t>sy</t>
  </si>
  <si>
    <t>0192262290</t>
  </si>
  <si>
    <t>https://drive.google.com/open?id=1PV0CB1wYZhEJP2gtmSBseC4KIcHkLRv4</t>
  </si>
  <si>
    <t>weishinwong05@gmail.com</t>
  </si>
  <si>
    <t>Hx.</t>
  </si>
  <si>
    <t>014-3252050</t>
  </si>
  <si>
    <t>https://drive.google.com/open?id=1rPR180mN_-J6aee-SSp29GvEoMPtCv0-</t>
  </si>
  <si>
    <t>allenteoh1012@gmail.com</t>
  </si>
  <si>
    <t>allen</t>
  </si>
  <si>
    <t>011-24118074</t>
  </si>
  <si>
    <t>https://drive.google.com/open?id=1eCopUJ5yxQTckZroYWla6ZEptNghhHdz</t>
  </si>
  <si>
    <t>cunping3467@gmail.com</t>
  </si>
  <si>
    <t>CP</t>
  </si>
  <si>
    <t>0184726212</t>
  </si>
  <si>
    <t>https://drive.google.com/open?id=1XJ6D8TTaWwijCrAhVnUVB-ymvgTr7t4B</t>
  </si>
  <si>
    <t>aliciazhiying@gmail.com</t>
  </si>
  <si>
    <t>Zhi ying</t>
  </si>
  <si>
    <t xml:space="preserve">010-372 0311 </t>
  </si>
  <si>
    <t>https://drive.google.com/open?id=19-6MBVolYqEwziXo869XKLB4yC5UGYBz</t>
  </si>
  <si>
    <t>fujiaxianc@gmail.com</t>
  </si>
  <si>
    <t>JX</t>
  </si>
  <si>
    <t>016-7668715</t>
  </si>
  <si>
    <t>https://drive.google.com/open?id=1SMMv9Cmh_AvYP3VIN6uReXm1ENId38ca</t>
  </si>
  <si>
    <t>saxon0611@gmail.com</t>
  </si>
  <si>
    <t>GSheng77</t>
  </si>
  <si>
    <t>017-5082846</t>
  </si>
  <si>
    <t>https://drive.google.com/open?id=1tA9iMQ2glS3nMLACqtCz4mJtJ85lOcAh</t>
  </si>
  <si>
    <t>haochengleehc@gmail.com</t>
  </si>
  <si>
    <t>C</t>
  </si>
  <si>
    <t>01126062311</t>
  </si>
  <si>
    <t>https://drive.google.com/open?id=13qdq4w01Sn1fcwLpCRdQOMssDwrHi--V</t>
  </si>
  <si>
    <t>sookkeechan02@gmail.com</t>
  </si>
  <si>
    <t>sk</t>
  </si>
  <si>
    <t>0109799685</t>
  </si>
  <si>
    <t>https://drive.google.com/open?id=1Rfb0W2gACxP-DizwULEmPASof7Aa-ljA</t>
  </si>
  <si>
    <t>yaniechaw@gmail.com</t>
  </si>
  <si>
    <t>Stephanie</t>
  </si>
  <si>
    <t>0176039167</t>
  </si>
  <si>
    <t>https://drive.google.com/open?id=1Lu5ZR_tI69ctra3b1x18lgyIKSdOmSku</t>
  </si>
  <si>
    <t>gengxing001123@gmail.com</t>
  </si>
  <si>
    <t>Geng Xing</t>
  </si>
  <si>
    <t>0174575393</t>
  </si>
  <si>
    <t>https://drive.google.com/open?id=1US6kRRYbaAENKUePQJ7s8qGjCsljJztk</t>
  </si>
  <si>
    <t>tanzhiying100@gmail.com</t>
  </si>
  <si>
    <t xml:space="preserve">ZY </t>
  </si>
  <si>
    <t>0123876480</t>
  </si>
  <si>
    <t>https://drive.google.com/open?id=1uwXWa1oaLcyQn-sIBSa_TGCrkWZnjqCC</t>
  </si>
  <si>
    <t>tepeiyee1304@gmail.com</t>
  </si>
  <si>
    <t>TE PEI YEE</t>
  </si>
  <si>
    <t>0142115262</t>
  </si>
  <si>
    <t>https://drive.google.com/open?id=1B1pSAUKc4s4B3nqCeX9LGqDBIZgPGMSY</t>
  </si>
  <si>
    <t>juinchuah25@gmail.com</t>
  </si>
  <si>
    <t>Juin</t>
  </si>
  <si>
    <t>0165118479</t>
  </si>
  <si>
    <t>https://drive.google.com/open?id=1tFi1ic5A-KoWEyPR062jU5gWtQJwTF7C</t>
  </si>
  <si>
    <t>gohhuici929@gmail.com</t>
  </si>
  <si>
    <t>吴慧慈</t>
  </si>
  <si>
    <t>011-25537713</t>
  </si>
  <si>
    <t>https://drive.google.com/open?id=1p5rxZ1Pg_WgBPeBdM5k2eOFh5GPMPnKW</t>
  </si>
  <si>
    <t>sihua021226@gmail.com</t>
  </si>
  <si>
    <t>sh</t>
  </si>
  <si>
    <t>0168527742</t>
  </si>
  <si>
    <t>https://drive.google.com/open?id=15IS8MKZyftsE6ibkYbIxp-auxwTaB0_F</t>
  </si>
  <si>
    <t>laujiaying2002@gmail.com</t>
  </si>
  <si>
    <t>Jia Yin</t>
  </si>
  <si>
    <t>01135618312</t>
  </si>
  <si>
    <t>https://drive.google.com/open?id=1K0buJR4St9bsELNqwS4VxNFqQHwYFk-v</t>
  </si>
  <si>
    <t>zgxi77@gmail.com</t>
  </si>
  <si>
    <t>Karman</t>
  </si>
  <si>
    <t>011-33112962</t>
  </si>
  <si>
    <t>https://drive.google.com/open?id=1qdWLCHGQDBhMN1scqGBRZ1pL1rQu2hKW</t>
  </si>
  <si>
    <t>junxun19102001@gmail.com</t>
  </si>
  <si>
    <t>NJX</t>
  </si>
  <si>
    <t>0143021079</t>
  </si>
  <si>
    <t>https://drive.google.com/open?id=1aK8xplhy2AKIOnl2_RPXk4W0XSOZgFtM</t>
  </si>
  <si>
    <t>tanzhijing197@gmail.com</t>
  </si>
  <si>
    <t>晴</t>
  </si>
  <si>
    <t>0175479093</t>
  </si>
  <si>
    <t>https://drive.google.com/open?id=10x6SsLi5JkbfbH0rWx-awUbfJ7xCJ7PD</t>
  </si>
  <si>
    <t>kokxingying@gmail.com</t>
  </si>
  <si>
    <t>Xing Ying</t>
  </si>
  <si>
    <t>0176199598</t>
  </si>
  <si>
    <t>https://drive.google.com/open?id=13abmbuYXVzvKN1g7PQ9kGB0QZUIc0emP</t>
  </si>
  <si>
    <t>hhuimeng8@gmail.com</t>
  </si>
  <si>
    <t>Hm</t>
  </si>
  <si>
    <t>01161142909</t>
  </si>
  <si>
    <t>https://drive.google.com/open?id=1Xo-_xMEU8kxmOb6s9JDu4eK9pVnl8PTd</t>
  </si>
  <si>
    <t>maycheung4@gmail.com</t>
  </si>
  <si>
    <t>hm</t>
  </si>
  <si>
    <t>011-6241 8170</t>
  </si>
  <si>
    <t>https://drive.google.com/open?id=16tW1zNtE3Yby-G9DyMModdZjjydznw2h</t>
  </si>
  <si>
    <t>cheangmun@gmail.com</t>
  </si>
  <si>
    <t>MUN HING</t>
  </si>
  <si>
    <t>01137824781</t>
  </si>
  <si>
    <t>https://drive.google.com/open?id=11Nxr8VcjwZ2Cz9zppU3NSIomr2b-ib4v</t>
  </si>
  <si>
    <t>chloezhiqii@gmail.com</t>
  </si>
  <si>
    <t xml:space="preserve">WONG ZHI QI </t>
  </si>
  <si>
    <t>0182727006</t>
  </si>
  <si>
    <t>https://drive.google.com/open?id=1Rp7dpXfSzLKalkYrJFzfNTXun-gZuL_h</t>
  </si>
  <si>
    <t>henryswchuan@gmail.com</t>
  </si>
  <si>
    <t>薛伟川</t>
  </si>
  <si>
    <t>0183100686</t>
  </si>
  <si>
    <t>https://drive.google.com/open?id=15F1p4LyXt3mC1HOCGhZxAIAI6Z8IPJw3</t>
  </si>
  <si>
    <t>yuerx0519@gmail.com</t>
  </si>
  <si>
    <t>黄婉玉</t>
  </si>
  <si>
    <t>0169973791</t>
  </si>
  <si>
    <t>https://drive.google.com/open?id=1ebAH6Luxt3zURdvp9fzkSJHJdL0Y6j7k</t>
  </si>
  <si>
    <t>leeyanyan20@gmail.com</t>
  </si>
  <si>
    <t>Lee Mei Yan</t>
  </si>
  <si>
    <t>011-21725343</t>
  </si>
  <si>
    <t>https://drive.google.com/open?id=1QQU8rlkUjKniNKmS-OUnrmaa-Bhm5pvs</t>
  </si>
  <si>
    <t>shupei0220@gmail.com</t>
  </si>
  <si>
    <t xml:space="preserve">Tan Shu Pei </t>
  </si>
  <si>
    <t>01110586662</t>
  </si>
  <si>
    <t>https://drive.google.com/open?id=1wHaaf2Zvu04u3rxlm_xW-WPdN8ut0aPc</t>
  </si>
  <si>
    <t>tracying37@gmail.com</t>
  </si>
  <si>
    <t>Xy</t>
  </si>
  <si>
    <t>0175228818</t>
  </si>
  <si>
    <t>https://drive.google.com/open?id=1GhS__S2qMcU8gDZU-y-zf8WQHPG7EzF5</t>
  </si>
  <si>
    <t>xiao1026yee@gmail.com</t>
  </si>
  <si>
    <t>Shiao Yee</t>
  </si>
  <si>
    <t>011-64802379</t>
  </si>
  <si>
    <t>https://drive.google.com/open?id=1IWE97MAtbFsEh6KcFrFgRkHMwChVJB6S</t>
  </si>
  <si>
    <t>chingting0846@gmail.com</t>
  </si>
  <si>
    <t>OOI CHING TING</t>
  </si>
  <si>
    <t>0175209760</t>
  </si>
  <si>
    <t>https://drive.google.com/open?id=1rJJ0p3f4Py4yeqwHbVr3DWLgSo4B-elS</t>
  </si>
  <si>
    <t>wenqipang9@gmail.com</t>
  </si>
  <si>
    <t>WenQi</t>
  </si>
  <si>
    <t>016-7007092</t>
  </si>
  <si>
    <t>https://drive.google.com/open?id=1FiG9mixtdnpaw-_BlB00PnfcNcgR-nB9</t>
  </si>
  <si>
    <t>lowdangunn0605@gmail.com</t>
  </si>
  <si>
    <t>du</t>
  </si>
  <si>
    <t>0175140605</t>
  </si>
  <si>
    <t>https://drive.google.com/open?id=1p1iCCSjroHS5958jy6zMIca3WL_eHFyS</t>
  </si>
  <si>
    <t>yangjingng713@gmail.com</t>
  </si>
  <si>
    <t xml:space="preserve">NG JING YANG </t>
  </si>
  <si>
    <t>0167859718</t>
  </si>
  <si>
    <t>https://drive.google.com/open?id=1NiGs9F5EJXr36M6IBCe_tHP38tBe_y9T</t>
  </si>
  <si>
    <t>ziyitan517@gmail.com</t>
  </si>
  <si>
    <t>Tan zy</t>
  </si>
  <si>
    <t>01120902221</t>
  </si>
  <si>
    <t>https://drive.google.com/open?id=1xIJu0tr9lBcAVSYeQKrCJWYt7VDLrKST</t>
  </si>
  <si>
    <t>fionasiawsii@gmail.com</t>
  </si>
  <si>
    <t>刘晓诗</t>
  </si>
  <si>
    <t>0103701546</t>
  </si>
  <si>
    <t>https://drive.google.com/open?id=11A2D9jxe1k47PHTgE4AFN6wjIYj2NoSk</t>
  </si>
  <si>
    <t>lynyukino09@gmail.com</t>
  </si>
  <si>
    <t>Shaelyn</t>
  </si>
  <si>
    <t>01110647202</t>
  </si>
  <si>
    <t>https://drive.google.com/open?id=18AaqcVyvwb6osfr15IXpAwCmQD0ktJrI</t>
  </si>
  <si>
    <t>imandaaaaa5@gmail.com</t>
  </si>
  <si>
    <t>Amanda</t>
  </si>
  <si>
    <t>https://drive.google.com/open?id=1obeI_xRkM0fFWJ7MeiDnrYzXhmqZGJQN</t>
  </si>
  <si>
    <t>lzy.1208.zy@gmail.com</t>
  </si>
  <si>
    <t>Leezhenyou</t>
  </si>
  <si>
    <t>01110827627</t>
  </si>
  <si>
    <t>https://drive.google.com/open?id=1V14foJH8s8mTM1Wr1B44GelWGUrDpC8g</t>
  </si>
  <si>
    <t>xyichong2309@gmail.com</t>
  </si>
  <si>
    <t>xinyi</t>
  </si>
  <si>
    <t>01162116299</t>
  </si>
  <si>
    <t>https://drive.google.com/open?id=1WpJH6YvV_YCCWwcnCEPPdGpudf8ziPOn</t>
  </si>
  <si>
    <t>namnamchong0521@gmail.com</t>
  </si>
  <si>
    <t>Chong</t>
  </si>
  <si>
    <t>-</t>
  </si>
  <si>
    <t>https://drive.google.com/open?id=1gS6cCVKI2G364a583x-d6vOUmaDssKgF</t>
  </si>
  <si>
    <t>huiyann2002@gmail.com</t>
  </si>
  <si>
    <t xml:space="preserve">LAI HUI YANN </t>
  </si>
  <si>
    <t>https://drive.google.com/open?id=1cBQG-ykbQb_ASebgm2kBDhyeEAQ4zTEE</t>
  </si>
  <si>
    <t>meiwei5757@gmail.com</t>
  </si>
  <si>
    <t>LOH MEI WEI</t>
  </si>
  <si>
    <t>0134895510</t>
  </si>
  <si>
    <t>https://drive.google.com/open?id=1ZryaiQSaOjeMlVU2n30gvfC8bW9j8-C7</t>
  </si>
  <si>
    <t>TOTAL: 48ppl</t>
  </si>
  <si>
    <t>上一次的捐款余额：</t>
  </si>
  <si>
    <t>通过tng捐款：</t>
  </si>
  <si>
    <t>yongfu</t>
  </si>
  <si>
    <t>nicole</t>
  </si>
  <si>
    <t>chong xin yi</t>
  </si>
  <si>
    <t xml:space="preserve">chin ming zhen </t>
  </si>
  <si>
    <t>yow jun yu</t>
  </si>
  <si>
    <t>total</t>
  </si>
  <si>
    <t>一些没有填表格的人</t>
  </si>
  <si>
    <t>FINALIZATION FOR DONATION</t>
  </si>
  <si>
    <t>DATE</t>
  </si>
  <si>
    <t>DETAILS</t>
  </si>
  <si>
    <t>AMOUNT (RM)</t>
  </si>
  <si>
    <t>MEMO</t>
  </si>
  <si>
    <t>BANK TRANSFER</t>
  </si>
  <si>
    <t>TNG</t>
  </si>
  <si>
    <t>OTHERS</t>
  </si>
  <si>
    <t>BALANCE</t>
  </si>
  <si>
    <t>TOTAL</t>
  </si>
  <si>
    <t>DOG TREATMENT</t>
  </si>
  <si>
    <t>杂费（狗粮/伊丽莎白项圈/绷带）</t>
  </si>
  <si>
    <t>交通费补贴（过路费/车油/洗车费）</t>
  </si>
  <si>
    <t>TOTAL FEE FOR APRIL 22(MONDAY)</t>
  </si>
  <si>
    <t>BALANCE (1272-374)</t>
  </si>
  <si>
    <t>UPDATE ON 29 APRIL</t>
  </si>
  <si>
    <t>DOG SNACK</t>
  </si>
  <si>
    <t>BALANCE ON 29 APRIL</t>
  </si>
  <si>
    <t>RILEY'S STAFF</t>
  </si>
  <si>
    <t>treatment equipments: guardian&amp;pharmacy*</t>
  </si>
  <si>
    <t>foodand snacks(MAY 1)(124+151.70)*</t>
  </si>
  <si>
    <t>others tools*</t>
  </si>
  <si>
    <t>vaccine</t>
  </si>
  <si>
    <t>neutre*</t>
  </si>
  <si>
    <t>TOTAL:</t>
  </si>
  <si>
    <t>XIAOPAO'S</t>
  </si>
  <si>
    <t>treatment*</t>
  </si>
  <si>
    <t>BALANCE:</t>
  </si>
  <si>
    <t>VOLUNTEER DONATION:</t>
  </si>
  <si>
    <t>21 JUN</t>
  </si>
  <si>
    <t>20 JUN</t>
  </si>
  <si>
    <t>13 JUN</t>
  </si>
  <si>
    <t>10 JUN</t>
  </si>
  <si>
    <t>FOOD AND SNACK(21 JUN)*</t>
  </si>
  <si>
    <t>RILEY'S SHELTER</t>
  </si>
  <si>
    <t>*resit 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</si>
</sst>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-d am/pm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theme="5"/>
        <bgColor theme="5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1" fillId="2" fontId="1" numFmtId="0" xfId="0" applyBorder="1" applyFill="1" applyFont="1"/>
    <xf borderId="2" fillId="2" fontId="1" numFmtId="0" xfId="0" applyAlignment="1" applyBorder="1" applyFont="1">
      <alignment readingOrder="0"/>
    </xf>
    <xf borderId="2" fillId="2" fontId="1" numFmtId="0" xfId="0" applyBorder="1" applyFont="1"/>
    <xf borderId="3" fillId="2" fontId="1" numFmtId="0" xfId="0" applyBorder="1" applyFont="1"/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3" numFmtId="0" xfId="0" applyAlignment="1" applyFont="1">
      <alignment readingOrder="0"/>
    </xf>
    <xf borderId="0" fillId="3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61</xdr:row>
      <xdr:rowOff>0</xdr:rowOff>
    </xdr:from>
    <xdr:ext cx="257175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857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104775" cy="2000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xIJu0tr9lBcAVSYeQKrCJWYt7VDLrKST" TargetMode="External"/><Relationship Id="rId42" Type="http://schemas.openxmlformats.org/officeDocument/2006/relationships/hyperlink" Target="https://drive.google.com/open?id=18AaqcVyvwb6osfr15IXpAwCmQD0ktJrI" TargetMode="External"/><Relationship Id="rId41" Type="http://schemas.openxmlformats.org/officeDocument/2006/relationships/hyperlink" Target="https://drive.google.com/open?id=11A2D9jxe1k47PHTgE4AFN6wjIYj2NoSk" TargetMode="External"/><Relationship Id="rId44" Type="http://schemas.openxmlformats.org/officeDocument/2006/relationships/hyperlink" Target="https://drive.google.com/open?id=1V14foJH8s8mTM1Wr1B44GelWGUrDpC8g" TargetMode="External"/><Relationship Id="rId43" Type="http://schemas.openxmlformats.org/officeDocument/2006/relationships/hyperlink" Target="https://drive.google.com/open?id=1obeI_xRkM0fFWJ7MeiDnrYzXhmqZGJQN" TargetMode="External"/><Relationship Id="rId46" Type="http://schemas.openxmlformats.org/officeDocument/2006/relationships/hyperlink" Target="https://drive.google.com/open?id=1gS6cCVKI2G364a583x-d6vOUmaDssKgF" TargetMode="External"/><Relationship Id="rId45" Type="http://schemas.openxmlformats.org/officeDocument/2006/relationships/hyperlink" Target="https://drive.google.com/open?id=1WpJH6YvV_YCCWwcnCEPPdGpudf8ziPOn" TargetMode="External"/><Relationship Id="rId1" Type="http://schemas.openxmlformats.org/officeDocument/2006/relationships/hyperlink" Target="https://drive.google.com/open?id=1k7bNmB0rscy1MGFfk4jQGqlOaybhGoZD" TargetMode="External"/><Relationship Id="rId2" Type="http://schemas.openxmlformats.org/officeDocument/2006/relationships/hyperlink" Target="https://drive.google.com/open?id=1VIPweZ9Mp2TxbBdbtjs2yto0DoKollHc" TargetMode="External"/><Relationship Id="rId3" Type="http://schemas.openxmlformats.org/officeDocument/2006/relationships/hyperlink" Target="https://drive.google.com/open?id=1cgF-Dvr9saVTE9aQ_1pfAZ6kMkb5XGoi" TargetMode="External"/><Relationship Id="rId4" Type="http://schemas.openxmlformats.org/officeDocument/2006/relationships/hyperlink" Target="https://drive.google.com/open?id=1QceqyinBGvbAn-muIgh1cz8V-3A9bdla" TargetMode="External"/><Relationship Id="rId9" Type="http://schemas.openxmlformats.org/officeDocument/2006/relationships/hyperlink" Target="https://drive.google.com/open?id=19-6MBVolYqEwziXo869XKLB4yC5UGYBz" TargetMode="External"/><Relationship Id="rId48" Type="http://schemas.openxmlformats.org/officeDocument/2006/relationships/hyperlink" Target="https://drive.google.com/open?id=1ZryaiQSaOjeMlVU2n30gvfC8bW9j8-C7" TargetMode="External"/><Relationship Id="rId47" Type="http://schemas.openxmlformats.org/officeDocument/2006/relationships/hyperlink" Target="https://drive.google.com/open?id=1cBQG-ykbQb_ASebgm2kBDhyeEAQ4zTEE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rive.google.com/open?id=1PV0CB1wYZhEJP2gtmSBseC4KIcHkLRv4" TargetMode="External"/><Relationship Id="rId6" Type="http://schemas.openxmlformats.org/officeDocument/2006/relationships/hyperlink" Target="https://drive.google.com/open?id=1rPR180mN_-J6aee-SSp29GvEoMPtCv0-" TargetMode="External"/><Relationship Id="rId7" Type="http://schemas.openxmlformats.org/officeDocument/2006/relationships/hyperlink" Target="https://drive.google.com/open?id=1eCopUJ5yxQTckZroYWla6ZEptNghhHdz" TargetMode="External"/><Relationship Id="rId8" Type="http://schemas.openxmlformats.org/officeDocument/2006/relationships/hyperlink" Target="https://drive.google.com/open?id=1XJ6D8TTaWwijCrAhVnUVB-ymvgTr7t4B" TargetMode="External"/><Relationship Id="rId31" Type="http://schemas.openxmlformats.org/officeDocument/2006/relationships/hyperlink" Target="https://drive.google.com/open?id=1ebAH6Luxt3zURdvp9fzkSJHJdL0Y6j7k" TargetMode="External"/><Relationship Id="rId30" Type="http://schemas.openxmlformats.org/officeDocument/2006/relationships/hyperlink" Target="https://drive.google.com/open?id=15F1p4LyXt3mC1HOCGhZxAIAI6Z8IPJw3" TargetMode="External"/><Relationship Id="rId33" Type="http://schemas.openxmlformats.org/officeDocument/2006/relationships/hyperlink" Target="https://drive.google.com/open?id=1wHaaf2Zvu04u3rxlm_xW-WPdN8ut0aPc" TargetMode="External"/><Relationship Id="rId32" Type="http://schemas.openxmlformats.org/officeDocument/2006/relationships/hyperlink" Target="https://drive.google.com/open?id=1QQU8rlkUjKniNKmS-OUnrmaa-Bhm5pvs" TargetMode="External"/><Relationship Id="rId35" Type="http://schemas.openxmlformats.org/officeDocument/2006/relationships/hyperlink" Target="https://drive.google.com/open?id=1IWE97MAtbFsEh6KcFrFgRkHMwChVJB6S" TargetMode="External"/><Relationship Id="rId34" Type="http://schemas.openxmlformats.org/officeDocument/2006/relationships/hyperlink" Target="https://drive.google.com/open?id=1GhS__S2qMcU8gDZU-y-zf8WQHPG7EzF5" TargetMode="External"/><Relationship Id="rId37" Type="http://schemas.openxmlformats.org/officeDocument/2006/relationships/hyperlink" Target="https://drive.google.com/open?id=1FiG9mixtdnpaw-_BlB00PnfcNcgR-nB9" TargetMode="External"/><Relationship Id="rId36" Type="http://schemas.openxmlformats.org/officeDocument/2006/relationships/hyperlink" Target="https://drive.google.com/open?id=1rJJ0p3f4Py4yeqwHbVr3DWLgSo4B-elS" TargetMode="External"/><Relationship Id="rId39" Type="http://schemas.openxmlformats.org/officeDocument/2006/relationships/hyperlink" Target="https://drive.google.com/open?id=1NiGs9F5EJXr36M6IBCe_tHP38tBe_y9T" TargetMode="External"/><Relationship Id="rId38" Type="http://schemas.openxmlformats.org/officeDocument/2006/relationships/hyperlink" Target="https://drive.google.com/open?id=1p1iCCSjroHS5958jy6zMIca3WL_eHFyS" TargetMode="External"/><Relationship Id="rId20" Type="http://schemas.openxmlformats.org/officeDocument/2006/relationships/hyperlink" Target="https://drive.google.com/open?id=15IS8MKZyftsE6ibkYbIxp-auxwTaB0_F" TargetMode="External"/><Relationship Id="rId22" Type="http://schemas.openxmlformats.org/officeDocument/2006/relationships/hyperlink" Target="https://drive.google.com/open?id=1qdWLCHGQDBhMN1scqGBRZ1pL1rQu2hKW" TargetMode="External"/><Relationship Id="rId21" Type="http://schemas.openxmlformats.org/officeDocument/2006/relationships/hyperlink" Target="https://drive.google.com/open?id=1K0buJR4St9bsELNqwS4VxNFqQHwYFk-v" TargetMode="External"/><Relationship Id="rId24" Type="http://schemas.openxmlformats.org/officeDocument/2006/relationships/hyperlink" Target="https://drive.google.com/open?id=10x6SsLi5JkbfbH0rWx-awUbfJ7xCJ7PD" TargetMode="External"/><Relationship Id="rId23" Type="http://schemas.openxmlformats.org/officeDocument/2006/relationships/hyperlink" Target="https://drive.google.com/open?id=1aK8xplhy2AKIOnl2_RPXk4W0XSOZgFtM" TargetMode="External"/><Relationship Id="rId26" Type="http://schemas.openxmlformats.org/officeDocument/2006/relationships/hyperlink" Target="https://drive.google.com/open?id=1Xo-_xMEU8kxmOb6s9JDu4eK9pVnl8PTd" TargetMode="External"/><Relationship Id="rId25" Type="http://schemas.openxmlformats.org/officeDocument/2006/relationships/hyperlink" Target="https://drive.google.com/open?id=13abmbuYXVzvKN1g7PQ9kGB0QZUIc0emP" TargetMode="External"/><Relationship Id="rId28" Type="http://schemas.openxmlformats.org/officeDocument/2006/relationships/hyperlink" Target="https://drive.google.com/open?id=11Nxr8VcjwZ2Cz9zppU3NSIomr2b-ib4v" TargetMode="External"/><Relationship Id="rId27" Type="http://schemas.openxmlformats.org/officeDocument/2006/relationships/hyperlink" Target="https://drive.google.com/open?id=16tW1zNtE3Yby-G9DyMModdZjjydznw2h" TargetMode="External"/><Relationship Id="rId29" Type="http://schemas.openxmlformats.org/officeDocument/2006/relationships/hyperlink" Target="https://drive.google.com/open?id=1Rp7dpXfSzLKalkYrJFzfNTXun-gZuL_h" TargetMode="External"/><Relationship Id="rId11" Type="http://schemas.openxmlformats.org/officeDocument/2006/relationships/hyperlink" Target="https://drive.google.com/open?id=1tA9iMQ2glS3nMLACqtCz4mJtJ85lOcAh" TargetMode="External"/><Relationship Id="rId10" Type="http://schemas.openxmlformats.org/officeDocument/2006/relationships/hyperlink" Target="https://drive.google.com/open?id=1SMMv9Cmh_AvYP3VIN6uReXm1ENId38ca" TargetMode="External"/><Relationship Id="rId13" Type="http://schemas.openxmlformats.org/officeDocument/2006/relationships/hyperlink" Target="https://drive.google.com/open?id=1Rfb0W2gACxP-DizwULEmPASof7Aa-ljA" TargetMode="External"/><Relationship Id="rId12" Type="http://schemas.openxmlformats.org/officeDocument/2006/relationships/hyperlink" Target="https://drive.google.com/open?id=13qdq4w01Sn1fcwLpCRdQOMssDwrHi--V" TargetMode="External"/><Relationship Id="rId15" Type="http://schemas.openxmlformats.org/officeDocument/2006/relationships/hyperlink" Target="https://drive.google.com/open?id=1US6kRRYbaAENKUePQJ7s8qGjCsljJztk" TargetMode="External"/><Relationship Id="rId14" Type="http://schemas.openxmlformats.org/officeDocument/2006/relationships/hyperlink" Target="https://drive.google.com/open?id=1Lu5ZR_tI69ctra3b1x18lgyIKSdOmSku" TargetMode="External"/><Relationship Id="rId17" Type="http://schemas.openxmlformats.org/officeDocument/2006/relationships/hyperlink" Target="https://drive.google.com/open?id=1B1pSAUKc4s4B3nqCeX9LGqDBIZgPGMSY" TargetMode="External"/><Relationship Id="rId16" Type="http://schemas.openxmlformats.org/officeDocument/2006/relationships/hyperlink" Target="https://drive.google.com/open?id=1uwXWa1oaLcyQn-sIBSa_TGCrkWZnjqCC" TargetMode="External"/><Relationship Id="rId19" Type="http://schemas.openxmlformats.org/officeDocument/2006/relationships/hyperlink" Target="https://drive.google.com/open?id=1p5rxZ1Pg_WgBPeBdM5k2eOFh5GPMPnKW" TargetMode="External"/><Relationship Id="rId18" Type="http://schemas.openxmlformats.org/officeDocument/2006/relationships/hyperlink" Target="https://drive.google.com/open?id=1tFi1ic5A-KoWEyPR062jU5gWtQJwTF7C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Ck_AzI0v5on_LPcuF2dOfO62QgvqZgYI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45407.02065800926</v>
      </c>
      <c r="B2" s="3" t="s">
        <v>6</v>
      </c>
      <c r="C2" s="3" t="s">
        <v>7</v>
      </c>
      <c r="D2" s="3">
        <v>15.0</v>
      </c>
      <c r="E2" s="4" t="s">
        <v>8</v>
      </c>
      <c r="F2" s="5" t="s">
        <v>9</v>
      </c>
    </row>
    <row r="3">
      <c r="A3" s="2">
        <v>45407.02226118055</v>
      </c>
      <c r="B3" s="3" t="s">
        <v>10</v>
      </c>
      <c r="C3" s="3" t="s">
        <v>11</v>
      </c>
      <c r="D3" s="3">
        <v>10.0</v>
      </c>
      <c r="E3" s="4" t="s">
        <v>12</v>
      </c>
      <c r="F3" s="5" t="s">
        <v>13</v>
      </c>
    </row>
    <row r="4">
      <c r="A4" s="2">
        <v>45407.02291917824</v>
      </c>
      <c r="B4" s="3" t="s">
        <v>14</v>
      </c>
      <c r="C4" s="3" t="s">
        <v>15</v>
      </c>
      <c r="D4" s="3">
        <v>10.0</v>
      </c>
      <c r="E4" s="4" t="s">
        <v>16</v>
      </c>
      <c r="F4" s="5" t="s">
        <v>17</v>
      </c>
    </row>
    <row r="5">
      <c r="A5" s="2">
        <v>45407.023431354166</v>
      </c>
      <c r="B5" s="3" t="s">
        <v>18</v>
      </c>
      <c r="C5" s="3" t="s">
        <v>19</v>
      </c>
      <c r="D5" s="3">
        <v>5.0</v>
      </c>
      <c r="E5" s="4" t="s">
        <v>20</v>
      </c>
      <c r="F5" s="5" t="s">
        <v>21</v>
      </c>
    </row>
    <row r="6">
      <c r="A6" s="2">
        <v>45407.02484046297</v>
      </c>
      <c r="B6" s="3" t="s">
        <v>22</v>
      </c>
      <c r="C6" s="3" t="s">
        <v>23</v>
      </c>
      <c r="D6" s="3">
        <v>5.0</v>
      </c>
      <c r="E6" s="4" t="s">
        <v>24</v>
      </c>
      <c r="F6" s="5" t="s">
        <v>25</v>
      </c>
    </row>
    <row r="7">
      <c r="A7" s="2">
        <v>45407.025361458334</v>
      </c>
      <c r="B7" s="3" t="s">
        <v>26</v>
      </c>
      <c r="C7" s="3" t="s">
        <v>27</v>
      </c>
      <c r="D7" s="3">
        <v>5.0</v>
      </c>
      <c r="E7" s="3" t="s">
        <v>28</v>
      </c>
      <c r="F7" s="5" t="s">
        <v>29</v>
      </c>
    </row>
    <row r="8">
      <c r="A8" s="2">
        <v>45407.02575886574</v>
      </c>
      <c r="B8" s="3" t="s">
        <v>30</v>
      </c>
      <c r="C8" s="3" t="s">
        <v>31</v>
      </c>
      <c r="D8" s="3">
        <v>10.0</v>
      </c>
      <c r="E8" s="3" t="s">
        <v>32</v>
      </c>
      <c r="F8" s="5" t="s">
        <v>33</v>
      </c>
    </row>
    <row r="9">
      <c r="A9" s="2">
        <v>45407.02699133102</v>
      </c>
      <c r="B9" s="3" t="s">
        <v>34</v>
      </c>
      <c r="C9" s="3" t="s">
        <v>35</v>
      </c>
      <c r="D9" s="3">
        <v>10.0</v>
      </c>
      <c r="E9" s="4" t="s">
        <v>36</v>
      </c>
      <c r="F9" s="5" t="s">
        <v>37</v>
      </c>
    </row>
    <row r="10">
      <c r="A10" s="2">
        <v>45407.027110173614</v>
      </c>
      <c r="B10" s="3" t="s">
        <v>38</v>
      </c>
      <c r="C10" s="3" t="s">
        <v>39</v>
      </c>
      <c r="D10" s="3">
        <v>10.0</v>
      </c>
      <c r="E10" s="3" t="s">
        <v>40</v>
      </c>
      <c r="F10" s="5" t="s">
        <v>41</v>
      </c>
    </row>
    <row r="11">
      <c r="A11" s="2">
        <v>45407.0272837963</v>
      </c>
      <c r="B11" s="3" t="s">
        <v>42</v>
      </c>
      <c r="C11" s="3" t="s">
        <v>43</v>
      </c>
      <c r="D11" s="3">
        <v>10.0</v>
      </c>
      <c r="E11" s="3" t="s">
        <v>44</v>
      </c>
      <c r="F11" s="5" t="s">
        <v>45</v>
      </c>
    </row>
    <row r="12">
      <c r="A12" s="2">
        <v>45407.02885798611</v>
      </c>
      <c r="B12" s="3" t="s">
        <v>46</v>
      </c>
      <c r="C12" s="3" t="s">
        <v>47</v>
      </c>
      <c r="D12" s="3">
        <v>5.0</v>
      </c>
      <c r="E12" s="3" t="s">
        <v>48</v>
      </c>
      <c r="F12" s="5" t="s">
        <v>49</v>
      </c>
    </row>
    <row r="13">
      <c r="A13" s="2">
        <v>45407.0289274074</v>
      </c>
      <c r="B13" s="3" t="s">
        <v>50</v>
      </c>
      <c r="C13" s="3" t="s">
        <v>51</v>
      </c>
      <c r="D13" s="3">
        <v>20.0</v>
      </c>
      <c r="E13" s="4" t="s">
        <v>52</v>
      </c>
      <c r="F13" s="5" t="s">
        <v>53</v>
      </c>
    </row>
    <row r="14">
      <c r="A14" s="2">
        <v>45407.029607743054</v>
      </c>
      <c r="B14" s="3" t="s">
        <v>54</v>
      </c>
      <c r="C14" s="3" t="s">
        <v>55</v>
      </c>
      <c r="D14" s="3">
        <v>10.0</v>
      </c>
      <c r="E14" s="4" t="s">
        <v>56</v>
      </c>
      <c r="F14" s="5" t="s">
        <v>57</v>
      </c>
    </row>
    <row r="15">
      <c r="A15" s="2">
        <v>45407.03167822916</v>
      </c>
      <c r="B15" s="3" t="s">
        <v>58</v>
      </c>
      <c r="C15" s="3" t="s">
        <v>59</v>
      </c>
      <c r="D15" s="3">
        <v>20.0</v>
      </c>
      <c r="E15" s="4" t="s">
        <v>60</v>
      </c>
      <c r="F15" s="5" t="s">
        <v>61</v>
      </c>
    </row>
    <row r="16">
      <c r="A16" s="2">
        <v>45407.03258817129</v>
      </c>
      <c r="B16" s="3" t="s">
        <v>62</v>
      </c>
      <c r="C16" s="3" t="s">
        <v>63</v>
      </c>
      <c r="D16" s="3">
        <v>20.0</v>
      </c>
      <c r="E16" s="4" t="s">
        <v>64</v>
      </c>
      <c r="F16" s="5" t="s">
        <v>65</v>
      </c>
    </row>
    <row r="17">
      <c r="A17" s="2">
        <v>45407.03321173611</v>
      </c>
      <c r="B17" s="3" t="s">
        <v>66</v>
      </c>
      <c r="C17" s="3" t="s">
        <v>67</v>
      </c>
      <c r="D17" s="3">
        <v>5.0</v>
      </c>
      <c r="E17" s="4" t="s">
        <v>68</v>
      </c>
      <c r="F17" s="5" t="s">
        <v>69</v>
      </c>
    </row>
    <row r="18">
      <c r="A18" s="2">
        <v>45407.03809263889</v>
      </c>
      <c r="B18" s="3" t="s">
        <v>70</v>
      </c>
      <c r="C18" s="3" t="s">
        <v>71</v>
      </c>
      <c r="D18" s="3">
        <v>15.0</v>
      </c>
      <c r="E18" s="4" t="s">
        <v>72</v>
      </c>
      <c r="F18" s="5" t="s">
        <v>73</v>
      </c>
    </row>
    <row r="19">
      <c r="A19" s="2">
        <v>45407.03915321759</v>
      </c>
      <c r="B19" s="3" t="s">
        <v>74</v>
      </c>
      <c r="C19" s="3" t="s">
        <v>75</v>
      </c>
      <c r="D19" s="3">
        <v>20.0</v>
      </c>
      <c r="E19" s="4" t="s">
        <v>76</v>
      </c>
      <c r="F19" s="5" t="s">
        <v>77</v>
      </c>
    </row>
    <row r="20">
      <c r="A20" s="2">
        <v>45407.03995585648</v>
      </c>
      <c r="B20" s="3" t="s">
        <v>78</v>
      </c>
      <c r="C20" s="3" t="s">
        <v>79</v>
      </c>
      <c r="D20" s="3">
        <v>20.0</v>
      </c>
      <c r="E20" s="3" t="s">
        <v>80</v>
      </c>
      <c r="F20" s="5" t="s">
        <v>81</v>
      </c>
    </row>
    <row r="21">
      <c r="A21" s="2">
        <v>45407.04068040509</v>
      </c>
      <c r="B21" s="3" t="s">
        <v>82</v>
      </c>
      <c r="C21" s="3" t="s">
        <v>83</v>
      </c>
      <c r="D21" s="3">
        <v>10.0</v>
      </c>
      <c r="E21" s="4" t="s">
        <v>84</v>
      </c>
      <c r="F21" s="5" t="s">
        <v>85</v>
      </c>
    </row>
    <row r="22">
      <c r="A22" s="2">
        <v>45407.04256722222</v>
      </c>
      <c r="B22" s="3" t="s">
        <v>86</v>
      </c>
      <c r="C22" s="3" t="s">
        <v>87</v>
      </c>
      <c r="D22" s="3">
        <v>10.0</v>
      </c>
      <c r="E22" s="4" t="s">
        <v>88</v>
      </c>
      <c r="F22" s="5" t="s">
        <v>89</v>
      </c>
    </row>
    <row r="23">
      <c r="A23" s="2">
        <v>45407.042719375</v>
      </c>
      <c r="B23" s="3" t="s">
        <v>90</v>
      </c>
      <c r="C23" s="3" t="s">
        <v>91</v>
      </c>
      <c r="D23" s="3">
        <v>20.0</v>
      </c>
      <c r="E23" s="3" t="s">
        <v>92</v>
      </c>
      <c r="F23" s="5" t="s">
        <v>93</v>
      </c>
    </row>
    <row r="24">
      <c r="A24" s="2">
        <v>45407.04555190972</v>
      </c>
      <c r="B24" s="3" t="s">
        <v>94</v>
      </c>
      <c r="C24" s="3" t="s">
        <v>95</v>
      </c>
      <c r="D24" s="3">
        <v>30.0</v>
      </c>
      <c r="E24" s="4" t="s">
        <v>96</v>
      </c>
      <c r="F24" s="5" t="s">
        <v>97</v>
      </c>
    </row>
    <row r="25">
      <c r="A25" s="2">
        <v>45407.048656875</v>
      </c>
      <c r="B25" s="3" t="s">
        <v>98</v>
      </c>
      <c r="C25" s="3" t="s">
        <v>99</v>
      </c>
      <c r="D25" s="3">
        <v>10.0</v>
      </c>
      <c r="E25" s="4" t="s">
        <v>100</v>
      </c>
      <c r="F25" s="5" t="s">
        <v>101</v>
      </c>
    </row>
    <row r="26">
      <c r="A26" s="2">
        <v>45407.04883047454</v>
      </c>
      <c r="B26" s="3" t="s">
        <v>102</v>
      </c>
      <c r="C26" s="3" t="s">
        <v>103</v>
      </c>
      <c r="D26" s="3">
        <v>50.0</v>
      </c>
      <c r="E26" s="4" t="s">
        <v>104</v>
      </c>
      <c r="F26" s="5" t="s">
        <v>105</v>
      </c>
    </row>
    <row r="27">
      <c r="A27" s="2">
        <v>45407.049292662035</v>
      </c>
      <c r="B27" s="3" t="s">
        <v>106</v>
      </c>
      <c r="C27" s="3" t="s">
        <v>107</v>
      </c>
      <c r="D27" s="3">
        <v>5.0</v>
      </c>
      <c r="E27" s="4" t="s">
        <v>108</v>
      </c>
      <c r="F27" s="5" t="s">
        <v>109</v>
      </c>
    </row>
    <row r="28">
      <c r="A28" s="2">
        <v>45407.04950039352</v>
      </c>
      <c r="B28" s="3" t="s">
        <v>110</v>
      </c>
      <c r="C28" s="3" t="s">
        <v>111</v>
      </c>
      <c r="D28" s="3">
        <v>10.0</v>
      </c>
      <c r="E28" s="3" t="s">
        <v>112</v>
      </c>
      <c r="F28" s="5" t="s">
        <v>113</v>
      </c>
    </row>
    <row r="29">
      <c r="A29" s="2">
        <v>45407.05644435185</v>
      </c>
      <c r="B29" s="3" t="s">
        <v>114</v>
      </c>
      <c r="C29" s="3" t="s">
        <v>115</v>
      </c>
      <c r="D29" s="3">
        <v>10.0</v>
      </c>
      <c r="E29" s="4" t="s">
        <v>116</v>
      </c>
      <c r="F29" s="5" t="s">
        <v>117</v>
      </c>
    </row>
    <row r="30">
      <c r="A30" s="2">
        <v>45407.0574094676</v>
      </c>
      <c r="B30" s="3" t="s">
        <v>118</v>
      </c>
      <c r="C30" s="3" t="s">
        <v>119</v>
      </c>
      <c r="D30" s="3">
        <v>50.0</v>
      </c>
      <c r="E30" s="4" t="s">
        <v>120</v>
      </c>
      <c r="F30" s="5" t="s">
        <v>121</v>
      </c>
    </row>
    <row r="31">
      <c r="A31" s="2">
        <v>45407.07400125</v>
      </c>
      <c r="B31" s="3" t="s">
        <v>122</v>
      </c>
      <c r="C31" s="3" t="s">
        <v>123</v>
      </c>
      <c r="D31" s="3">
        <v>100.0</v>
      </c>
      <c r="E31" s="4" t="s">
        <v>124</v>
      </c>
      <c r="F31" s="5" t="s">
        <v>125</v>
      </c>
    </row>
    <row r="32">
      <c r="A32" s="2">
        <v>45407.124230092595</v>
      </c>
      <c r="B32" s="3" t="s">
        <v>126</v>
      </c>
      <c r="C32" s="3" t="s">
        <v>127</v>
      </c>
      <c r="D32" s="3">
        <v>30.0</v>
      </c>
      <c r="E32" s="4" t="s">
        <v>128</v>
      </c>
      <c r="F32" s="5" t="s">
        <v>129</v>
      </c>
    </row>
    <row r="33">
      <c r="A33" s="2">
        <v>45407.29892690972</v>
      </c>
      <c r="B33" s="3" t="s">
        <v>130</v>
      </c>
      <c r="C33" s="3" t="s">
        <v>131</v>
      </c>
      <c r="D33" s="3">
        <v>20.0</v>
      </c>
      <c r="E33" s="3" t="s">
        <v>132</v>
      </c>
      <c r="F33" s="5" t="s">
        <v>133</v>
      </c>
    </row>
    <row r="34">
      <c r="A34" s="2">
        <v>45407.30385434028</v>
      </c>
      <c r="B34" s="3" t="s">
        <v>134</v>
      </c>
      <c r="C34" s="3" t="s">
        <v>135</v>
      </c>
      <c r="D34" s="3">
        <v>10.0</v>
      </c>
      <c r="E34" s="4" t="s">
        <v>136</v>
      </c>
      <c r="F34" s="5" t="s">
        <v>137</v>
      </c>
    </row>
    <row r="35">
      <c r="A35" s="2">
        <v>45407.313937175924</v>
      </c>
      <c r="B35" s="3" t="s">
        <v>138</v>
      </c>
      <c r="C35" s="3" t="s">
        <v>139</v>
      </c>
      <c r="D35" s="3">
        <v>20.0</v>
      </c>
      <c r="E35" s="4" t="s">
        <v>140</v>
      </c>
      <c r="F35" s="5" t="s">
        <v>141</v>
      </c>
    </row>
    <row r="36">
      <c r="A36" s="2">
        <v>45407.31576445602</v>
      </c>
      <c r="B36" s="3" t="s">
        <v>142</v>
      </c>
      <c r="C36" s="3" t="s">
        <v>143</v>
      </c>
      <c r="D36" s="3">
        <v>10.0</v>
      </c>
      <c r="E36" s="3" t="s">
        <v>144</v>
      </c>
      <c r="F36" s="5" t="s">
        <v>145</v>
      </c>
    </row>
    <row r="37">
      <c r="A37" s="2">
        <v>45407.32338778935</v>
      </c>
      <c r="B37" s="3" t="s">
        <v>146</v>
      </c>
      <c r="C37" s="3" t="s">
        <v>147</v>
      </c>
      <c r="D37" s="3">
        <v>10.0</v>
      </c>
      <c r="E37" s="4" t="s">
        <v>148</v>
      </c>
      <c r="F37" s="5" t="s">
        <v>149</v>
      </c>
    </row>
    <row r="38">
      <c r="A38" s="2">
        <v>45407.32614605324</v>
      </c>
      <c r="B38" s="3" t="s">
        <v>150</v>
      </c>
      <c r="C38" s="3" t="s">
        <v>151</v>
      </c>
      <c r="D38" s="3">
        <v>30.0</v>
      </c>
      <c r="E38" s="3" t="s">
        <v>152</v>
      </c>
      <c r="F38" s="5" t="s">
        <v>153</v>
      </c>
    </row>
    <row r="39">
      <c r="A39" s="2">
        <v>45407.33016450232</v>
      </c>
      <c r="B39" s="3" t="s">
        <v>154</v>
      </c>
      <c r="C39" s="3" t="s">
        <v>155</v>
      </c>
      <c r="D39" s="3">
        <v>10.0</v>
      </c>
      <c r="E39" s="4" t="s">
        <v>156</v>
      </c>
      <c r="F39" s="5" t="s">
        <v>157</v>
      </c>
    </row>
    <row r="40">
      <c r="A40" s="2">
        <v>45407.335104328704</v>
      </c>
      <c r="B40" s="3" t="s">
        <v>158</v>
      </c>
      <c r="C40" s="3" t="s">
        <v>159</v>
      </c>
      <c r="D40" s="3">
        <v>10.0</v>
      </c>
      <c r="E40" s="4" t="s">
        <v>160</v>
      </c>
      <c r="F40" s="5" t="s">
        <v>161</v>
      </c>
    </row>
    <row r="41">
      <c r="A41" s="2">
        <v>45407.34408956018</v>
      </c>
      <c r="B41" s="3" t="s">
        <v>162</v>
      </c>
      <c r="C41" s="3" t="s">
        <v>163</v>
      </c>
      <c r="D41" s="3">
        <v>10.0</v>
      </c>
      <c r="E41" s="4" t="s">
        <v>164</v>
      </c>
      <c r="F41" s="5" t="s">
        <v>165</v>
      </c>
    </row>
    <row r="42">
      <c r="A42" s="2">
        <v>45407.34661530092</v>
      </c>
      <c r="B42" s="3" t="s">
        <v>166</v>
      </c>
      <c r="C42" s="3" t="s">
        <v>167</v>
      </c>
      <c r="D42" s="3">
        <v>50.0</v>
      </c>
      <c r="E42" s="4" t="s">
        <v>168</v>
      </c>
      <c r="F42" s="5" t="s">
        <v>169</v>
      </c>
    </row>
    <row r="43">
      <c r="A43" s="2">
        <v>45407.35115219907</v>
      </c>
      <c r="B43" s="3" t="s">
        <v>170</v>
      </c>
      <c r="C43" s="3" t="s">
        <v>171</v>
      </c>
      <c r="D43" s="3">
        <v>5.0</v>
      </c>
      <c r="E43" s="4" t="s">
        <v>172</v>
      </c>
      <c r="F43" s="5" t="s">
        <v>173</v>
      </c>
    </row>
    <row r="44">
      <c r="A44" s="2">
        <v>45407.3513222801</v>
      </c>
      <c r="B44" s="3" t="s">
        <v>174</v>
      </c>
      <c r="C44" s="3" t="s">
        <v>175</v>
      </c>
      <c r="D44" s="3">
        <v>10.0</v>
      </c>
      <c r="E44" s="3">
        <v>1.110830237E9</v>
      </c>
      <c r="F44" s="5" t="s">
        <v>176</v>
      </c>
    </row>
    <row r="45">
      <c r="A45" s="2">
        <v>45407.35799466435</v>
      </c>
      <c r="B45" s="3" t="s">
        <v>177</v>
      </c>
      <c r="C45" s="3" t="s">
        <v>178</v>
      </c>
      <c r="D45" s="3">
        <v>10.0</v>
      </c>
      <c r="E45" s="4" t="s">
        <v>179</v>
      </c>
      <c r="F45" s="5" t="s">
        <v>180</v>
      </c>
    </row>
    <row r="46">
      <c r="A46" s="2">
        <v>45407.36088645834</v>
      </c>
      <c r="B46" s="3" t="s">
        <v>181</v>
      </c>
      <c r="C46" s="3" t="s">
        <v>182</v>
      </c>
      <c r="D46" s="3">
        <v>20.0</v>
      </c>
      <c r="E46" s="4" t="s">
        <v>183</v>
      </c>
      <c r="F46" s="5" t="s">
        <v>184</v>
      </c>
    </row>
    <row r="47">
      <c r="A47" s="2">
        <v>45407.361904363424</v>
      </c>
      <c r="B47" s="3" t="s">
        <v>185</v>
      </c>
      <c r="C47" s="3" t="s">
        <v>186</v>
      </c>
      <c r="D47" s="3">
        <v>50.0</v>
      </c>
      <c r="E47" s="3" t="s">
        <v>187</v>
      </c>
      <c r="F47" s="5" t="s">
        <v>188</v>
      </c>
    </row>
    <row r="48">
      <c r="A48" s="2">
        <v>45407.3625025</v>
      </c>
      <c r="B48" s="3" t="s">
        <v>189</v>
      </c>
      <c r="C48" s="3" t="s">
        <v>190</v>
      </c>
      <c r="D48" s="3">
        <v>5.0</v>
      </c>
      <c r="E48" s="3">
        <v>1.79156606E8</v>
      </c>
      <c r="F48" s="5" t="s">
        <v>191</v>
      </c>
    </row>
    <row r="49">
      <c r="A49" s="2">
        <v>45407.3645202662</v>
      </c>
      <c r="B49" s="3" t="s">
        <v>192</v>
      </c>
      <c r="C49" s="3" t="s">
        <v>193</v>
      </c>
      <c r="D49" s="3">
        <v>20.0</v>
      </c>
      <c r="E49" s="4" t="s">
        <v>194</v>
      </c>
      <c r="F49" s="5" t="s">
        <v>195</v>
      </c>
    </row>
    <row r="51">
      <c r="C51" s="3" t="s">
        <v>196</v>
      </c>
      <c r="D51" s="6">
        <f>SUM(D2:D49)</f>
        <v>860</v>
      </c>
    </row>
    <row r="53">
      <c r="A53" s="3" t="s">
        <v>197</v>
      </c>
      <c r="B53" s="3">
        <v>177.0</v>
      </c>
    </row>
    <row r="54">
      <c r="A54" s="3" t="s">
        <v>198</v>
      </c>
    </row>
    <row r="55">
      <c r="A55" s="3" t="s">
        <v>199</v>
      </c>
      <c r="B55" s="3">
        <v>10.0</v>
      </c>
    </row>
    <row r="56">
      <c r="A56" s="3" t="s">
        <v>200</v>
      </c>
      <c r="B56" s="3">
        <v>10.0</v>
      </c>
    </row>
    <row r="57">
      <c r="A57" s="3" t="s">
        <v>201</v>
      </c>
      <c r="B57" s="3">
        <v>20.0</v>
      </c>
    </row>
    <row r="58">
      <c r="A58" s="3" t="s">
        <v>202</v>
      </c>
      <c r="B58" s="3">
        <v>30.0</v>
      </c>
    </row>
    <row r="59">
      <c r="A59" s="3" t="s">
        <v>203</v>
      </c>
      <c r="B59" s="3">
        <v>10.0</v>
      </c>
    </row>
    <row r="61">
      <c r="A61" s="3" t="s">
        <v>204</v>
      </c>
      <c r="B61" s="6">
        <f>SUM(B53:B59)</f>
        <v>257</v>
      </c>
    </row>
    <row r="62">
      <c r="A62" s="3" t="s">
        <v>205</v>
      </c>
      <c r="B62" s="3">
        <v>155.0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</hyperlinks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21.75"/>
    <col customWidth="1" min="3" max="3" width="15.75"/>
    <col customWidth="1" min="4" max="4" width="21.5"/>
  </cols>
  <sheetData>
    <row r="1">
      <c r="A1" s="3" t="s">
        <v>206</v>
      </c>
    </row>
    <row r="2">
      <c r="A2" s="3" t="s">
        <v>207</v>
      </c>
      <c r="B2" s="3" t="s">
        <v>208</v>
      </c>
      <c r="C2" s="3" t="s">
        <v>209</v>
      </c>
      <c r="D2" s="3" t="s">
        <v>210</v>
      </c>
    </row>
    <row r="3">
      <c r="A3" s="2">
        <v>45407.02065800926</v>
      </c>
      <c r="B3" s="3" t="s">
        <v>211</v>
      </c>
      <c r="C3" s="3">
        <v>15.0</v>
      </c>
    </row>
    <row r="4">
      <c r="A4" s="2">
        <v>45407.02226118055</v>
      </c>
      <c r="B4" s="3" t="s">
        <v>211</v>
      </c>
      <c r="C4" s="3">
        <v>10.0</v>
      </c>
    </row>
    <row r="5">
      <c r="A5" s="2">
        <v>45407.02291917824</v>
      </c>
      <c r="B5" s="3" t="s">
        <v>211</v>
      </c>
      <c r="C5" s="3">
        <v>10.0</v>
      </c>
    </row>
    <row r="6">
      <c r="A6" s="2">
        <v>45407.023431354166</v>
      </c>
      <c r="B6" s="3" t="s">
        <v>211</v>
      </c>
      <c r="C6" s="3">
        <v>5.0</v>
      </c>
    </row>
    <row r="7">
      <c r="A7" s="2">
        <v>45407.02484046297</v>
      </c>
      <c r="B7" s="3" t="s">
        <v>211</v>
      </c>
      <c r="C7" s="3">
        <v>5.0</v>
      </c>
    </row>
    <row r="8">
      <c r="A8" s="2">
        <v>45407.025361458334</v>
      </c>
      <c r="B8" s="3" t="s">
        <v>211</v>
      </c>
      <c r="C8" s="3">
        <v>5.0</v>
      </c>
    </row>
    <row r="9">
      <c r="A9" s="2">
        <v>45407.02575886574</v>
      </c>
      <c r="B9" s="3" t="s">
        <v>211</v>
      </c>
      <c r="C9" s="3">
        <v>10.0</v>
      </c>
    </row>
    <row r="10">
      <c r="A10" s="2">
        <v>45407.02699133102</v>
      </c>
      <c r="B10" s="3" t="s">
        <v>211</v>
      </c>
      <c r="C10" s="3">
        <v>10.0</v>
      </c>
    </row>
    <row r="11">
      <c r="A11" s="2">
        <v>45407.027110173614</v>
      </c>
      <c r="B11" s="3" t="s">
        <v>211</v>
      </c>
      <c r="C11" s="3">
        <v>10.0</v>
      </c>
    </row>
    <row r="12">
      <c r="A12" s="2">
        <v>45407.0272837963</v>
      </c>
      <c r="B12" s="3" t="s">
        <v>211</v>
      </c>
      <c r="C12" s="3">
        <v>10.0</v>
      </c>
    </row>
    <row r="13">
      <c r="A13" s="2">
        <v>45407.02885798611</v>
      </c>
      <c r="B13" s="3" t="s">
        <v>211</v>
      </c>
      <c r="C13" s="3">
        <v>5.0</v>
      </c>
    </row>
    <row r="14">
      <c r="A14" s="2">
        <v>45407.0289274074</v>
      </c>
      <c r="B14" s="3" t="s">
        <v>211</v>
      </c>
      <c r="C14" s="3">
        <v>20.0</v>
      </c>
    </row>
    <row r="15">
      <c r="A15" s="2">
        <v>45407.029607743054</v>
      </c>
      <c r="B15" s="3" t="s">
        <v>211</v>
      </c>
      <c r="C15" s="3">
        <v>10.0</v>
      </c>
    </row>
    <row r="16">
      <c r="A16" s="2">
        <v>45407.03167822916</v>
      </c>
      <c r="B16" s="3" t="s">
        <v>211</v>
      </c>
      <c r="C16" s="3">
        <v>20.0</v>
      </c>
    </row>
    <row r="17">
      <c r="A17" s="2">
        <v>45407.03258817129</v>
      </c>
      <c r="B17" s="3" t="s">
        <v>211</v>
      </c>
      <c r="C17" s="3">
        <v>20.0</v>
      </c>
    </row>
    <row r="18">
      <c r="A18" s="2">
        <v>45407.03321173611</v>
      </c>
      <c r="B18" s="3" t="s">
        <v>211</v>
      </c>
      <c r="C18" s="3">
        <v>5.0</v>
      </c>
    </row>
    <row r="19">
      <c r="A19" s="2">
        <v>45407.03809263889</v>
      </c>
      <c r="B19" s="3" t="s">
        <v>211</v>
      </c>
      <c r="C19" s="3">
        <v>15.0</v>
      </c>
    </row>
    <row r="20">
      <c r="A20" s="2">
        <v>45407.03915321759</v>
      </c>
      <c r="B20" s="3" t="s">
        <v>211</v>
      </c>
      <c r="C20" s="3">
        <v>20.0</v>
      </c>
    </row>
    <row r="21">
      <c r="A21" s="2">
        <v>45407.03995585648</v>
      </c>
      <c r="B21" s="3" t="s">
        <v>211</v>
      </c>
      <c r="C21" s="3">
        <v>20.0</v>
      </c>
    </row>
    <row r="22">
      <c r="A22" s="2">
        <v>45407.04068040509</v>
      </c>
      <c r="B22" s="3" t="s">
        <v>211</v>
      </c>
      <c r="C22" s="3">
        <v>10.0</v>
      </c>
    </row>
    <row r="23">
      <c r="A23" s="2">
        <v>45407.04256722222</v>
      </c>
      <c r="B23" s="3" t="s">
        <v>211</v>
      </c>
      <c r="C23" s="3">
        <v>10.0</v>
      </c>
    </row>
    <row r="24">
      <c r="A24" s="2">
        <v>45407.042719375</v>
      </c>
      <c r="B24" s="3" t="s">
        <v>211</v>
      </c>
      <c r="C24" s="3">
        <v>20.0</v>
      </c>
    </row>
    <row r="25">
      <c r="A25" s="2">
        <v>45407.04555190972</v>
      </c>
      <c r="B25" s="3" t="s">
        <v>211</v>
      </c>
      <c r="C25" s="3">
        <v>30.0</v>
      </c>
    </row>
    <row r="26">
      <c r="A26" s="2">
        <v>45407.048656875</v>
      </c>
      <c r="B26" s="3" t="s">
        <v>211</v>
      </c>
      <c r="C26" s="3">
        <v>10.0</v>
      </c>
    </row>
    <row r="27">
      <c r="A27" s="2">
        <v>45407.04883047454</v>
      </c>
      <c r="B27" s="3" t="s">
        <v>211</v>
      </c>
      <c r="C27" s="3">
        <v>50.0</v>
      </c>
    </row>
    <row r="28">
      <c r="A28" s="2">
        <v>45407.049292662035</v>
      </c>
      <c r="B28" s="3" t="s">
        <v>211</v>
      </c>
      <c r="C28" s="3">
        <v>5.0</v>
      </c>
    </row>
    <row r="29">
      <c r="A29" s="2">
        <v>45407.04950039352</v>
      </c>
      <c r="B29" s="3" t="s">
        <v>211</v>
      </c>
      <c r="C29" s="3">
        <v>10.0</v>
      </c>
    </row>
    <row r="30">
      <c r="A30" s="2">
        <v>45407.05644435185</v>
      </c>
      <c r="B30" s="3" t="s">
        <v>211</v>
      </c>
      <c r="C30" s="3">
        <v>10.0</v>
      </c>
    </row>
    <row r="31">
      <c r="A31" s="2">
        <v>45407.0574094676</v>
      </c>
      <c r="B31" s="3" t="s">
        <v>211</v>
      </c>
      <c r="C31" s="3">
        <v>50.0</v>
      </c>
    </row>
    <row r="32">
      <c r="A32" s="2">
        <v>45407.07400125</v>
      </c>
      <c r="B32" s="3" t="s">
        <v>211</v>
      </c>
      <c r="C32" s="3">
        <v>100.0</v>
      </c>
    </row>
    <row r="33">
      <c r="A33" s="2">
        <v>45407.124230092595</v>
      </c>
      <c r="B33" s="3" t="s">
        <v>211</v>
      </c>
      <c r="C33" s="3">
        <v>30.0</v>
      </c>
    </row>
    <row r="34">
      <c r="A34" s="2">
        <v>45407.29892690972</v>
      </c>
      <c r="B34" s="3" t="s">
        <v>211</v>
      </c>
      <c r="C34" s="3">
        <v>20.0</v>
      </c>
    </row>
    <row r="35">
      <c r="A35" s="2">
        <v>45407.30385434028</v>
      </c>
      <c r="B35" s="3" t="s">
        <v>211</v>
      </c>
      <c r="C35" s="3">
        <v>10.0</v>
      </c>
    </row>
    <row r="36">
      <c r="A36" s="2">
        <v>45407.313937175924</v>
      </c>
      <c r="B36" s="3" t="s">
        <v>211</v>
      </c>
      <c r="C36" s="3">
        <v>20.0</v>
      </c>
    </row>
    <row r="37">
      <c r="A37" s="2">
        <v>45407.31576445602</v>
      </c>
      <c r="B37" s="3" t="s">
        <v>211</v>
      </c>
      <c r="C37" s="3">
        <v>10.0</v>
      </c>
    </row>
    <row r="38">
      <c r="A38" s="2">
        <v>45407.32338778935</v>
      </c>
      <c r="B38" s="3" t="s">
        <v>211</v>
      </c>
      <c r="C38" s="3">
        <v>10.0</v>
      </c>
    </row>
    <row r="39">
      <c r="A39" s="2">
        <v>45407.32614605324</v>
      </c>
      <c r="B39" s="3" t="s">
        <v>211</v>
      </c>
      <c r="C39" s="3">
        <v>30.0</v>
      </c>
    </row>
    <row r="40">
      <c r="A40" s="2">
        <v>45407.33016450232</v>
      </c>
      <c r="B40" s="3" t="s">
        <v>211</v>
      </c>
      <c r="C40" s="3">
        <v>10.0</v>
      </c>
    </row>
    <row r="41">
      <c r="A41" s="2">
        <v>45407.335104328704</v>
      </c>
      <c r="B41" s="3" t="s">
        <v>211</v>
      </c>
      <c r="C41" s="3">
        <v>10.0</v>
      </c>
    </row>
    <row r="42">
      <c r="A42" s="2">
        <v>45407.34408956018</v>
      </c>
      <c r="B42" s="3" t="s">
        <v>211</v>
      </c>
      <c r="C42" s="3">
        <v>10.0</v>
      </c>
    </row>
    <row r="43">
      <c r="A43" s="2">
        <v>45407.34661530092</v>
      </c>
      <c r="B43" s="3" t="s">
        <v>211</v>
      </c>
      <c r="C43" s="3">
        <v>50.0</v>
      </c>
    </row>
    <row r="44">
      <c r="A44" s="2">
        <v>45407.35115219907</v>
      </c>
      <c r="B44" s="3" t="s">
        <v>211</v>
      </c>
      <c r="C44" s="3">
        <v>5.0</v>
      </c>
    </row>
    <row r="45">
      <c r="A45" s="2">
        <v>45407.3513222801</v>
      </c>
      <c r="B45" s="3" t="s">
        <v>211</v>
      </c>
      <c r="C45" s="3">
        <v>10.0</v>
      </c>
    </row>
    <row r="46">
      <c r="A46" s="2">
        <v>45407.35799466435</v>
      </c>
      <c r="B46" s="3" t="s">
        <v>211</v>
      </c>
      <c r="C46" s="3">
        <v>10.0</v>
      </c>
    </row>
    <row r="47">
      <c r="A47" s="2">
        <v>45407.36088645834</v>
      </c>
      <c r="B47" s="3" t="s">
        <v>211</v>
      </c>
      <c r="C47" s="3">
        <v>20.0</v>
      </c>
    </row>
    <row r="48">
      <c r="A48" s="2">
        <v>45407.361904363424</v>
      </c>
      <c r="B48" s="3" t="s">
        <v>211</v>
      </c>
      <c r="C48" s="3">
        <v>50.0</v>
      </c>
    </row>
    <row r="49">
      <c r="A49" s="2">
        <v>45407.3625025</v>
      </c>
      <c r="B49" s="3" t="s">
        <v>211</v>
      </c>
      <c r="C49" s="3">
        <v>5.0</v>
      </c>
    </row>
    <row r="50">
      <c r="A50" s="2">
        <v>45407.3645202662</v>
      </c>
      <c r="B50" s="3" t="s">
        <v>211</v>
      </c>
      <c r="C50" s="3">
        <v>20.0</v>
      </c>
    </row>
    <row r="51">
      <c r="A51" s="2">
        <v>45407.02104166667</v>
      </c>
      <c r="B51" s="3" t="s">
        <v>212</v>
      </c>
      <c r="C51" s="3">
        <v>10.0</v>
      </c>
    </row>
    <row r="52">
      <c r="A52" s="7">
        <v>45407.35625</v>
      </c>
      <c r="B52" s="3" t="s">
        <v>212</v>
      </c>
      <c r="C52" s="3">
        <v>10.0</v>
      </c>
    </row>
    <row r="53">
      <c r="A53" s="7">
        <v>45407.35902777778</v>
      </c>
      <c r="B53" s="3" t="s">
        <v>212</v>
      </c>
      <c r="C53" s="3">
        <v>20.0</v>
      </c>
    </row>
    <row r="54">
      <c r="A54" s="7">
        <v>45407.36041666667</v>
      </c>
      <c r="B54" s="3" t="s">
        <v>212</v>
      </c>
      <c r="C54" s="3">
        <v>30.0</v>
      </c>
    </row>
    <row r="55">
      <c r="A55" s="7">
        <v>45407.54236111111</v>
      </c>
      <c r="B55" s="3" t="s">
        <v>212</v>
      </c>
      <c r="C55" s="3">
        <v>10.0</v>
      </c>
    </row>
    <row r="56">
      <c r="B56" s="3" t="s">
        <v>213</v>
      </c>
      <c r="C56" s="3">
        <v>155.0</v>
      </c>
    </row>
    <row r="57">
      <c r="B57" s="3" t="s">
        <v>214</v>
      </c>
      <c r="C57" s="3">
        <v>177.0</v>
      </c>
    </row>
    <row r="59">
      <c r="A59" s="8"/>
      <c r="B59" s="9" t="s">
        <v>215</v>
      </c>
      <c r="C59" s="10">
        <f>SUM(C3:C57)</f>
        <v>1272</v>
      </c>
      <c r="D59" s="11"/>
    </row>
    <row r="61">
      <c r="A61" s="3" t="s">
        <v>216</v>
      </c>
      <c r="B61" s="3">
        <v>269.0</v>
      </c>
    </row>
    <row r="62">
      <c r="A62" s="6"/>
    </row>
    <row r="88">
      <c r="A88" s="3" t="s">
        <v>217</v>
      </c>
      <c r="B88" s="3">
        <v>45.0</v>
      </c>
    </row>
    <row r="89">
      <c r="A89" s="3" t="s">
        <v>218</v>
      </c>
      <c r="B89" s="3">
        <v>60.0</v>
      </c>
    </row>
    <row r="90">
      <c r="A90" s="3"/>
    </row>
    <row r="112">
      <c r="A112" s="12" t="s">
        <v>219</v>
      </c>
      <c r="B112" s="12">
        <v>374.0</v>
      </c>
    </row>
    <row r="113">
      <c r="A113" s="3" t="s">
        <v>220</v>
      </c>
      <c r="B113" s="3">
        <v>898.0</v>
      </c>
    </row>
    <row r="115">
      <c r="A115" s="3" t="s">
        <v>221</v>
      </c>
    </row>
    <row r="116">
      <c r="A116" s="3" t="s">
        <v>222</v>
      </c>
      <c r="B116" s="3">
        <v>19.8</v>
      </c>
    </row>
    <row r="117">
      <c r="A117" s="6"/>
    </row>
    <row r="138">
      <c r="A138" s="12" t="s">
        <v>223</v>
      </c>
      <c r="B138" s="12">
        <v>878.2</v>
      </c>
    </row>
    <row r="140">
      <c r="A140" s="3" t="s">
        <v>224</v>
      </c>
    </row>
    <row r="141">
      <c r="A141" s="3" t="s">
        <v>225</v>
      </c>
      <c r="B141" s="3">
        <v>66.5</v>
      </c>
    </row>
    <row r="142">
      <c r="A142" s="3" t="s">
        <v>226</v>
      </c>
      <c r="B142" s="3">
        <v>275.7</v>
      </c>
    </row>
    <row r="143">
      <c r="A143" s="3" t="s">
        <v>227</v>
      </c>
      <c r="B143" s="3">
        <v>122.6</v>
      </c>
    </row>
    <row r="144">
      <c r="A144" s="3" t="s">
        <v>228</v>
      </c>
      <c r="B144" s="3">
        <v>45.0</v>
      </c>
    </row>
    <row r="145">
      <c r="A145" s="3" t="s">
        <v>229</v>
      </c>
      <c r="B145" s="3">
        <v>266.0</v>
      </c>
    </row>
    <row r="146">
      <c r="A146" s="3" t="s">
        <v>230</v>
      </c>
      <c r="B146" s="6">
        <f>SUM(B141:B145)</f>
        <v>775.8</v>
      </c>
    </row>
    <row r="147">
      <c r="A147" s="13" t="s">
        <v>214</v>
      </c>
      <c r="B147" s="14">
        <f>B138-B146</f>
        <v>102.4</v>
      </c>
    </row>
    <row r="148">
      <c r="A148" s="3"/>
    </row>
    <row r="149">
      <c r="A149" s="3" t="s">
        <v>231</v>
      </c>
    </row>
    <row r="150">
      <c r="A150" s="3" t="s">
        <v>232</v>
      </c>
      <c r="B150" s="3">
        <v>320.75</v>
      </c>
    </row>
    <row r="151">
      <c r="A151" s="13" t="s">
        <v>233</v>
      </c>
      <c r="B151" s="14">
        <f>B147-B150</f>
        <v>-218.35</v>
      </c>
    </row>
    <row r="153">
      <c r="A153" s="3" t="s">
        <v>234</v>
      </c>
    </row>
    <row r="154">
      <c r="A154" s="3" t="s">
        <v>235</v>
      </c>
      <c r="B154" s="3">
        <v>100.0</v>
      </c>
    </row>
    <row r="155">
      <c r="A155" s="3" t="s">
        <v>236</v>
      </c>
      <c r="B155" s="3">
        <v>80.0</v>
      </c>
    </row>
    <row r="156">
      <c r="A156" s="3" t="s">
        <v>237</v>
      </c>
      <c r="B156" s="3">
        <v>50.0</v>
      </c>
    </row>
    <row r="157">
      <c r="A157" s="3" t="s">
        <v>238</v>
      </c>
      <c r="B157" s="3">
        <v>60.0</v>
      </c>
    </row>
    <row r="158">
      <c r="A158" s="3" t="s">
        <v>230</v>
      </c>
      <c r="B158" s="6">
        <f>SUM(B154:B157)</f>
        <v>290</v>
      </c>
    </row>
    <row r="159">
      <c r="A159" s="13" t="s">
        <v>233</v>
      </c>
      <c r="B159" s="14">
        <f>B151+B158</f>
        <v>71.65</v>
      </c>
    </row>
    <row r="161">
      <c r="A161" s="3" t="s">
        <v>239</v>
      </c>
      <c r="B161" s="3">
        <v>78.0</v>
      </c>
    </row>
    <row r="162">
      <c r="A162" s="3" t="s">
        <v>240</v>
      </c>
      <c r="B162" s="3">
        <v>150.0</v>
      </c>
    </row>
    <row r="163">
      <c r="A163" s="15" t="s">
        <v>233</v>
      </c>
      <c r="B163" s="16">
        <f>B159-B161-B162</f>
        <v>-156.35</v>
      </c>
    </row>
    <row r="166">
      <c r="A166" s="17" t="s">
        <v>241</v>
      </c>
    </row>
  </sheetData>
  <mergeCells count="3">
    <mergeCell ref="A62:D86"/>
    <mergeCell ref="A90:B111"/>
    <mergeCell ref="A117:B137"/>
  </mergeCells>
  <hyperlinks>
    <hyperlink r:id="rId1" ref="A166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